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성 가이드" sheetId="1" state="visible" r:id="rId1"/>
    <sheet name="TC 작성 기준" sheetId="2" state="visible" r:id="rId2"/>
    <sheet name="TestCase" sheetId="3" state="visible" r:id="rId3"/>
    <sheet name="플레이 검증" sheetId="4" state="visible" r:id="rId4"/>
    <sheet name="TC MAP" sheetId="5" state="visible" r:id="rId5"/>
    <sheet name="회차 이력" sheetId="6" state="visible" r:id="rId6"/>
  </sheets>
  <definedNames>
    <definedName name="_xlnm._FilterDatabase" localSheetId="2" hidden="1">'TestCase'!$A$4:$N$300</definedName>
    <definedName name="_xlnm._FilterDatabase" localSheetId="3" hidden="1">'플레이 검증'!$A$4:$G$89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9"/>
    </font>
    <font>
      <name val="Arial"/>
      <sz val="9"/>
    </font>
    <font>
      <name val="Arial"/>
      <b val="1"/>
      <sz val="11"/>
    </font>
    <font>
      <name val="Arial"/>
      <color rgb="00333333"/>
      <sz val="9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DE9E7"/>
      </patternFill>
    </fill>
    <fill>
      <patternFill patternType="solid">
        <fgColor rgb="00E8F4E8"/>
      </patternFill>
    </fill>
    <fill>
      <patternFill patternType="solid">
        <fgColor rgb="00FFF9E6"/>
      </patternFill>
    </fill>
    <fill>
      <patternFill patternType="solid">
        <fgColor rgb="00F2F5FA"/>
      </patternFill>
    </fill>
  </fills>
  <borders count="6">
    <border>
      <left/>
      <right/>
      <top/>
      <bottom/>
      <diagonal/>
    </border>
    <border>
      <left style="thin">
        <color rgb="00B4C4DC"/>
      </left>
      <right style="thin">
        <color rgb="00B4C4DC"/>
      </right>
      <top style="thin">
        <color rgb="00B4C4DC"/>
      </top>
      <bottom style="thin">
        <color rgb="00B4C4DC"/>
      </bottom>
    </border>
    <border>
      <left/>
      <right/>
      <top style="thin">
        <color rgb="00B4C4DC"/>
      </top>
      <bottom/>
      <diagonal/>
    </border>
    <border>
      <left/>
      <right style="thin">
        <color rgb="00B4C4DC"/>
      </right>
      <top style="thin">
        <color rgb="00B4C4DC"/>
      </top>
      <bottom/>
      <diagonal/>
    </border>
    <border>
      <left/>
      <right/>
      <top style="thin">
        <color rgb="00B4C4DC"/>
      </top>
      <bottom style="thin">
        <color rgb="00B4C4DC"/>
      </bottom>
      <diagonal/>
    </border>
    <border>
      <left/>
      <right style="thin">
        <color rgb="00B4C4DC"/>
      </right>
      <top style="thin">
        <color rgb="00B4C4DC"/>
      </top>
      <bottom style="thin">
        <color rgb="00B4C4D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0" borderId="0" pivotButton="0" quotePrefix="0" xfId="0"/>
    <xf numFmtId="0" fontId="3" fillId="6" borderId="1" pivotButton="0" quotePrefix="0" xfId="0"/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 ht="28" customHeight="1">
      <c r="A1" s="1" t="inlineStr">
        <is>
          <t>TimeKov  테스트 케이스</t>
        </is>
      </c>
    </row>
    <row r="3" ht="18.2" customHeight="1">
      <c r="A3" s="2" t="inlineStr">
        <is>
          <t>대상</t>
        </is>
      </c>
      <c r="B3" s="3" t="inlineStr">
        <is>
          <t>TimeKov  -  3인칭 액션 RPG + 공장 자동화. PC (Windows, Steam)</t>
        </is>
      </c>
    </row>
    <row r="4" ht="18.2" customHeight="1">
      <c r="A4" s="2" t="inlineStr">
        <is>
          <t>엔진</t>
        </is>
      </c>
      <c r="B4" s="3" t="inlineStr">
        <is>
          <t>Unity 6000.0.71f1 / URP 17</t>
        </is>
      </c>
    </row>
    <row r="5" ht="18.2" customHeight="1">
      <c r="A5" s="2" t="inlineStr">
        <is>
          <t>케이스 수</t>
        </is>
      </c>
      <c r="B5" s="3" t="inlineStr">
        <is>
          <t>296건  (High 141 / Mid 138 / Low 17)</t>
        </is>
      </c>
    </row>
    <row r="6" ht="18.2" customHeight="1">
      <c r="A6" s="2" t="inlineStr">
        <is>
          <t>작성 관점</t>
        </is>
      </c>
      <c r="B6" s="3" t="inlineStr">
        <is>
          <t>내부 화이트박스. 소스와 데이터 테이블(CSV·SO)을 열어 볼 수 있으므로 기대결과에 값을 직접 적는다.</t>
        </is>
      </c>
    </row>
    <row r="7" ht="44.59999999999999" customHeight="1">
      <c r="A7" s="2" t="inlineStr">
        <is>
          <t>범위</t>
        </is>
      </c>
      <c r="B7" s="3" t="inlineStr">
        <is>
          <t>기능이 정의대로 동작하는지만 본다.
경계·예외 케이스와 '기획상 막혀 있어야 하는 동작' 은 이 문서에서 뺐다. 밸런스·체감처럼 Pass/Fail 로 못 가르는 항목은 '플레이 검증' 시트로 분리했다.</t>
        </is>
      </c>
    </row>
    <row r="8" ht="18.2" customHeight="1">
      <c r="A8" s="2" t="inlineStr">
        <is>
          <t>텍스트</t>
        </is>
      </c>
      <c r="B8" s="3" t="inlineStr">
        <is>
          <t>씬에 실물로 존재하는 텍스트만 검수 대상이다. 월드 이름처럼 값이 바뀌는 텍스트는 제외.</t>
        </is>
      </c>
    </row>
    <row r="10" ht="22" customHeight="1">
      <c r="A10" s="4" t="inlineStr">
        <is>
          <t>시트 구성</t>
        </is>
      </c>
    </row>
    <row r="11" ht="31.4" customHeight="1">
      <c r="A11" s="2" t="inlineStr">
        <is>
          <t>TC 작성 기준</t>
        </is>
      </c>
      <c r="B11" s="3" t="inlineStr">
        <is>
          <t>케이스를 어떻게 써야 하는지. 약한 문장과 고친 문장을 나란히 놓았다. 새 케이스를 추가하기 전에 한 번 읽는다.</t>
        </is>
      </c>
    </row>
    <row r="12" ht="18.2" customHeight="1">
      <c r="A12" s="2" t="inlineStr">
        <is>
          <t>TestCase</t>
        </is>
      </c>
      <c r="B12" s="3" t="inlineStr">
        <is>
          <t>원본. 여기에는 결과를 적지 않는다. 회차마다 복사해서 쓴다.</t>
        </is>
      </c>
    </row>
    <row r="13" ht="18.2" customHeight="1">
      <c r="A13" s="2" t="inlineStr">
        <is>
          <t>플레이 검증</t>
        </is>
      </c>
      <c r="B13" s="3" t="inlineStr">
        <is>
          <t>판정이 '됐다/안 됐다' 로 안 갈리는 것들. 밸런스·FTUE·동선·체감. 결과는 좋음/보통/문제 세 단계.</t>
        </is>
      </c>
    </row>
    <row r="14" ht="18.2" customHeight="1">
      <c r="A14" s="2" t="inlineStr">
        <is>
          <t>TC MAP</t>
        </is>
      </c>
      <c r="B14" s="3" t="inlineStr">
        <is>
          <t>집계. B2 에 회차 시트 이름을 적으면 대분류별·검증 유형별 Pass/Fail 이 그 회차 기준으로 바뀐다.</t>
        </is>
      </c>
    </row>
    <row r="15" ht="18.2" customHeight="1">
      <c r="A15" s="2" t="inlineStr">
        <is>
          <t>회차 이력</t>
        </is>
      </c>
      <c r="B15" s="3" t="inlineStr">
        <is>
          <t>회차마다 한 줄. E 열에 시트 이름을 적으면 나머지 숫자는 자동으로 채워진다.</t>
        </is>
      </c>
    </row>
    <row r="17" ht="22" customHeight="1">
      <c r="A17" s="4" t="inlineStr">
        <is>
          <t>회차 운영</t>
        </is>
      </c>
    </row>
    <row r="18" ht="18.2" customHeight="1">
      <c r="A18" s="2" t="inlineStr">
        <is>
          <t>1. 복사</t>
        </is>
      </c>
      <c r="B18" s="3" t="inlineStr">
        <is>
          <t>TestCase 시트를 복사하고 이름을  N회차_빌드번호  로 바꾼다.  예) 3회차_0.1.7</t>
        </is>
      </c>
    </row>
    <row r="19" ht="31.4" customHeight="1">
      <c r="A19" s="2" t="inlineStr">
        <is>
          <t>2. 실행</t>
        </is>
      </c>
      <c r="B19" s="3" t="inlineStr">
        <is>
          <t>복사한 시트의 P/F(K) 와 실제 결과(L) 만 채운다. Fail 이면 실제 결과에 재현 조건을 적고 결함 ID(N) 를 남긴다.</t>
        </is>
      </c>
    </row>
    <row r="20" ht="18.2" customHeight="1">
      <c r="A20" s="2" t="inlineStr">
        <is>
          <t>3. 집계</t>
        </is>
      </c>
      <c r="B20" s="3" t="inlineStr">
        <is>
          <t>TC MAP 의 B2 에 시트 이름을 적는다. 회차 이력에 한 줄을 추가하고 E 열에 같은 이름을 적는다.</t>
        </is>
      </c>
    </row>
    <row r="21" ht="31.4" customHeight="1">
      <c r="A21" s="2" t="inlineStr">
        <is>
          <t>4. 갱신</t>
        </is>
      </c>
      <c r="B21" s="3" t="inlineStr">
        <is>
          <t>케이스를 고쳐야 하면 회차 시트가 아니라 TestCase 원본과 tc_data.py 를 고친다. 회차 시트는 그 시점의 기록이다.</t>
        </is>
      </c>
    </row>
    <row r="23" ht="22" customHeight="1">
      <c r="A23" s="4" t="inlineStr">
        <is>
          <t>판정값 (P/F 열)</t>
        </is>
      </c>
    </row>
    <row r="24" ht="18.2" customHeight="1">
      <c r="A24" s="2" t="inlineStr">
        <is>
          <t>Pass</t>
        </is>
      </c>
      <c r="B24" s="3" t="inlineStr">
        <is>
          <t>기대결과와 일치</t>
        </is>
      </c>
    </row>
    <row r="25" ht="18.2" customHeight="1">
      <c r="A25" s="2" t="inlineStr">
        <is>
          <t>Fail</t>
        </is>
      </c>
      <c r="B25" s="3" t="inlineStr">
        <is>
          <t>기대결과와 다름. 실제 결과에 무엇이 어떻게 달랐는지 적는다</t>
        </is>
      </c>
    </row>
    <row r="26" ht="18.2" customHeight="1">
      <c r="A26" s="2" t="inlineStr">
        <is>
          <t>Block</t>
        </is>
      </c>
      <c r="B26" s="3" t="inlineStr">
        <is>
          <t>앞 단계가 막혀 실행 자체를 못 함. 무엇에 막혔는지 적는다</t>
        </is>
      </c>
    </row>
    <row r="27" ht="18.2" customHeight="1">
      <c r="A27" s="2" t="inlineStr">
        <is>
          <t>N/A</t>
        </is>
      </c>
      <c r="B27" s="3" t="inlineStr">
        <is>
          <t>이 빌드에서 해당 기능이 빠져 있어 볼 수 없음</t>
        </is>
      </c>
    </row>
    <row r="28" ht="18.2" customHeight="1">
      <c r="A28" s="2" t="inlineStr">
        <is>
          <t>N/T</t>
        </is>
      </c>
      <c r="B28" s="3" t="inlineStr">
        <is>
          <t>시간이 없어 아직 안 봄. 다음 회차 우선 대상</t>
        </is>
      </c>
    </row>
    <row r="30" ht="22" customHeight="1">
      <c r="A30" s="4" t="inlineStr">
        <is>
          <t>우선순위</t>
        </is>
      </c>
    </row>
    <row r="31" ht="18.2" customHeight="1">
      <c r="A31" s="2" t="inlineStr">
        <is>
          <t>High</t>
        </is>
      </c>
      <c r="B31" s="3" t="inlineStr">
        <is>
          <t>실패하면 진행이 막히거나 되돌릴 수 없다.  세이브 손실 · 소프트락 · 영구 스탯 오적용 · 크래시</t>
        </is>
      </c>
    </row>
    <row r="32" ht="18.2" customHeight="1">
      <c r="A32" s="2" t="inlineStr">
        <is>
          <t>Mid</t>
        </is>
      </c>
      <c r="B32" s="3" t="inlineStr">
        <is>
          <t>실패하면 플레이는 되지만 의도와 다르다.  수치 불일치 · 상태 미복원 · 표시 오류</t>
        </is>
      </c>
    </row>
    <row r="33" ht="18.2" customHeight="1">
      <c r="A33" s="2" t="inlineStr">
        <is>
          <t>Low</t>
        </is>
      </c>
      <c r="B33" s="3" t="inlineStr">
        <is>
          <t>실패해도 진행에 영향이 없다.  연출 · 정렬 · 미세한 타이밍</t>
        </is>
      </c>
    </row>
    <row r="35" ht="22" customHeight="1">
      <c r="A35" s="4" t="inlineStr">
        <is>
          <t>검증 유형</t>
        </is>
      </c>
    </row>
    <row r="36" ht="18.2" customHeight="1">
      <c r="A36" s="2" t="inlineStr">
        <is>
          <t>기능</t>
        </is>
      </c>
      <c r="B36" s="3" t="inlineStr">
        <is>
          <t>기본 동작이 되는가</t>
        </is>
      </c>
    </row>
    <row r="37" ht="18.2" customHeight="1">
      <c r="A37" s="2" t="inlineStr">
        <is>
          <t>경계</t>
        </is>
      </c>
      <c r="B37" s="3" t="inlineStr">
        <is>
          <t>임계값 앞뒤에서 판정이 갈리는가  (이 문서에서는 최소한만 둔다)</t>
        </is>
      </c>
    </row>
    <row r="38" ht="18.2" customHeight="1">
      <c r="A38" s="2" t="inlineStr">
        <is>
          <t>상태</t>
        </is>
      </c>
      <c r="B38" s="3" t="inlineStr">
        <is>
          <t>전이·지속·복원.  저장 후 로드 · 재접속 · 쿨타임 · 초기화</t>
        </is>
      </c>
    </row>
    <row r="39" ht="18.2" customHeight="1">
      <c r="A39" s="2" t="inlineStr">
        <is>
          <t>데이터</t>
        </is>
      </c>
      <c r="B39" s="3" t="inlineStr">
        <is>
          <t>테이블(CSV·SO)에 정의된 값과 화면·동작이 일치하는가</t>
        </is>
      </c>
    </row>
    <row r="40" ht="18.2" customHeight="1">
      <c r="A40" s="2" t="inlineStr">
        <is>
          <t>연출</t>
        </is>
      </c>
      <c r="B40" s="3" t="inlineStr">
        <is>
          <t>표시 · 소리 · 애니메이션 · VFX</t>
        </is>
      </c>
    </row>
    <row r="41" ht="18.2" customHeight="1">
      <c r="A41" s="2" t="inlineStr">
        <is>
          <t>성능</t>
        </is>
      </c>
      <c r="B41" s="3" t="inlineStr">
        <is>
          <t>프레임 · 메모리 · 로딩</t>
        </is>
      </c>
    </row>
    <row r="43" ht="22" customHeight="1">
      <c r="A43" s="4" t="inlineStr">
        <is>
          <t>회귀 범위 정하기</t>
        </is>
      </c>
    </row>
    <row r="44" ht="31.4" customHeight="1">
      <c r="A44" s="5" t="inlineStr">
        <is>
          <t>매 회차 296건을 다 돌릴 수는 없다. 시스템이 언제 들어왔는지(도입 차수)로 범위를 자른다. 오래된 시스템은 이미 여러 번 검증됐고, 최근 시스템은 아직 흔들린다.</t>
        </is>
      </c>
    </row>
    <row r="45" ht="18.2" customHeight="1">
      <c r="A45" s="2" t="inlineStr">
        <is>
          <t>바뀐 시스템</t>
        </is>
      </c>
      <c r="B45" s="3" t="inlineStr">
        <is>
          <t>커밋 로그에 등장한 대분류는 전수. High·Mid·Low 모두 본다.</t>
        </is>
      </c>
    </row>
    <row r="46" ht="18.2" customHeight="1">
      <c r="A46" s="2" t="inlineStr">
        <is>
          <t>4차 (최근)</t>
        </is>
      </c>
      <c r="B46" s="3" t="inlineStr">
        <is>
          <t>기믹/퍼즐 · UI 공통(현지화).  High + Mid 를 본다.</t>
        </is>
      </c>
    </row>
    <row r="47" ht="18.2" customHeight="1">
      <c r="A47" s="2" t="inlineStr">
        <is>
          <t>3차</t>
        </is>
      </c>
      <c r="B47" s="3" t="inlineStr">
        <is>
          <t>세이브 · 우주선/엔딩 · 프롤로그 · 이동/지역.  High 를 본다. Mid 는 두 회차에 한 번.</t>
        </is>
      </c>
    </row>
    <row r="48" ht="18.2" customHeight="1">
      <c r="A48" s="2" t="inlineStr">
        <is>
          <t>1·2차 (오래됨)</t>
        </is>
      </c>
      <c r="B48" s="3" t="inlineStr">
        <is>
          <t>플레이어 · 전투 · 인벤토리 · 공장 · 사운드.  High 만 본다.</t>
        </is>
      </c>
    </row>
    <row r="49" ht="18.2" customHeight="1">
      <c r="A49" s="2" t="inlineStr">
        <is>
          <t>출시 직전</t>
        </is>
      </c>
      <c r="B49" s="3" t="inlineStr">
        <is>
          <t>전수. 예외 없음.</t>
        </is>
      </c>
    </row>
    <row r="51" ht="22" customHeight="1">
      <c r="A51" s="4" t="inlineStr">
        <is>
          <t>도입 차수</t>
        </is>
      </c>
    </row>
    <row r="52" ht="18.2" customHeight="1">
      <c r="A52" s="2" t="inlineStr">
        <is>
          <t>1차  2025-12 ~ 2026-02</t>
        </is>
      </c>
      <c r="B52" s="3" t="inlineStr">
        <is>
          <t>Enemy · Player · UI · Inventory · Sound · Quest</t>
        </is>
      </c>
    </row>
    <row r="53" ht="18.2" customHeight="1">
      <c r="A53" s="2" t="inlineStr">
        <is>
          <t>2차  2026-03</t>
        </is>
      </c>
      <c r="B53" s="3" t="inlineStr">
        <is>
          <t>Factory · Grid</t>
        </is>
      </c>
    </row>
    <row r="54" ht="18.2" customHeight="1">
      <c r="A54" s="2" t="inlineStr">
        <is>
          <t>3차  2026-06 ~ 07</t>
        </is>
      </c>
      <c r="B54" s="3" t="inlineStr">
        <is>
          <t>Save · Ship · Prologue · Warp · ReturnStone</t>
        </is>
      </c>
    </row>
    <row r="55" ht="18.2" customHeight="1">
      <c r="A55" s="2" t="inlineStr">
        <is>
          <t>4차  2026-08</t>
        </is>
      </c>
      <c r="B55" s="3" t="inlineStr">
        <is>
          <t>Gimmick · Localization</t>
        </is>
      </c>
    </row>
  </sheetData>
  <mergeCells count="1">
    <mergeCell ref="A44:B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30" customWidth="1" min="4" max="4"/>
  </cols>
  <sheetData>
    <row r="1" ht="22" customHeight="1">
      <c r="A1" s="6" t="inlineStr">
        <is>
          <t>TC 작성 기준</t>
        </is>
      </c>
    </row>
    <row r="2" ht="16" customHeight="1">
      <c r="A2" s="7" t="inlineStr">
        <is>
          <t>같은 것을 보는 케이스라도 문장이 약하면 판정이 사람마다 갈린다.</t>
        </is>
      </c>
    </row>
    <row r="4" ht="26" customHeight="1">
      <c r="A4" s="8" t="inlineStr">
        <is>
          <t>항목</t>
        </is>
      </c>
      <c r="B4" s="8" t="inlineStr">
        <is>
          <t>약한 문장</t>
        </is>
      </c>
      <c r="C4" s="8" t="inlineStr">
        <is>
          <t>고친 문장</t>
        </is>
      </c>
      <c r="D4" s="8" t="inlineStr">
        <is>
          <t>왜</t>
        </is>
      </c>
    </row>
    <row r="5" ht="57.8" customHeight="1">
      <c r="A5" s="9" t="inlineStr">
        <is>
          <t>기대결과</t>
        </is>
      </c>
      <c r="B5" s="10" t="inlineStr">
        <is>
          <t>회복 앰플을 쓰면 정상적으로 회복된다</t>
        </is>
      </c>
      <c r="C5" s="11" t="inlineStr">
        <is>
          <t>시간에너지가 최대치의 30% 만큼 오른다 (ConsumableEffect.value)</t>
        </is>
      </c>
      <c r="D5" s="3" t="inlineStr">
        <is>
          <t>'정상' 은 판정 기준이 아니다. 얼마나 회복되는지 값을 적으면 테이블이 바뀌었을 때 케이스가 먼저 잡아낸다.</t>
        </is>
      </c>
    </row>
    <row r="6" ht="44.59999999999999" customHeight="1">
      <c r="A6" s="9" t="inlineStr">
        <is>
          <t>시나리오</t>
        </is>
      </c>
      <c r="B6" s="10" t="inlineStr">
        <is>
          <t>세이브 기능을 확인한다</t>
        </is>
      </c>
      <c r="C6" s="11" t="inlineStr">
        <is>
          <t>슬롯 2 에 저장 후 로드했을 때 인벤토리 수량이 저장 시점과 같은지 확인한다</t>
        </is>
      </c>
      <c r="D6" s="3" t="inlineStr">
        <is>
          <t>무엇을 어디서 무엇과 비교하는지가 문장에 있어야 한다. '기능을 확인한다' 는 열 사람이 열 가지를 본다.</t>
        </is>
      </c>
    </row>
    <row r="7" ht="44.59999999999999" customHeight="1">
      <c r="A7" s="9" t="inlineStr">
        <is>
          <t>실행 순서</t>
        </is>
      </c>
      <c r="B7" s="10" t="inlineStr">
        <is>
          <t>설비를 짓고 돌려본다</t>
        </is>
      </c>
      <c r="C7" s="11" t="inlineStr">
        <is>
          <t>1. 채굴기를 철 노드 위에 배치
2. 연료 투입
3. 10초 대기 후 출력 슬롯 확인</t>
        </is>
      </c>
      <c r="D7" s="3" t="inlineStr">
        <is>
          <t>한 줄에 한 동작. 순서가 바뀌면 결과가 달라지는 곳(연료 투입 시점)이 드러난다.</t>
        </is>
      </c>
    </row>
    <row r="8" ht="57.8" customHeight="1">
      <c r="A8" s="9" t="inlineStr">
        <is>
          <t>쪼개기</t>
        </is>
      </c>
      <c r="B8" s="10" t="inlineStr">
        <is>
          <t>설비마다 레시피가 전부 제작되는지 확인한다</t>
        </is>
      </c>
      <c r="C8" s="11" t="inlineStr">
        <is>
          <t>각 설비 별로 케이스 1건: '배치 · 연료 · 원재료 보유' 상태에서 레시피대로 제작되는지 확인한다</t>
        </is>
      </c>
      <c r="D8" s="3" t="inlineStr">
        <is>
          <t>레시피 하나하나는 데이터지 코드 경로가 아니다. 코드 경로(설비 종류) 기준으로 쪼개고 데이터는 한 건 안에서 대표값으로 본다.</t>
        </is>
      </c>
    </row>
    <row r="9" ht="44.59999999999999" customHeight="1">
      <c r="A9" s="9" t="inlineStr">
        <is>
          <t>사전 조건</t>
        </is>
      </c>
      <c r="B9" s="10" t="inlineStr">
        <is>
          <t>게임을 시작한 상태</t>
        </is>
      </c>
      <c r="C9" s="11" t="inlineStr">
        <is>
          <t>슬롯 1 에 세이브 존재, 인벤토리에 회복 앰플 1개 이상</t>
        </is>
      </c>
      <c r="D9" s="3" t="inlineStr">
        <is>
          <t>재현에 필요한 상태만 적는다. 부족하면 재현이 안 되고, 넘치면 안 읽는다.</t>
        </is>
      </c>
    </row>
    <row r="10" ht="44.59999999999999" customHeight="1">
      <c r="A10" s="9" t="inlineStr">
        <is>
          <t>우선순위</t>
        </is>
      </c>
      <c r="B10" s="10" t="inlineStr">
        <is>
          <t>High (전부)</t>
        </is>
      </c>
      <c r="C10" s="11" t="inlineStr">
        <is>
          <t>회복량 불일치 = Mid,  세이브 로드 후 진행도 소실 = High</t>
        </is>
      </c>
      <c r="D10" s="3" t="inlineStr">
        <is>
          <t>High 가 절반을 넘으면 우선순위가 아니라 라벨이다. 되돌릴 수 없는 것만 High.</t>
        </is>
      </c>
    </row>
    <row r="11" ht="44.59999999999999" customHeight="1">
      <c r="A11" s="9" t="inlineStr">
        <is>
          <t>비고</t>
        </is>
      </c>
      <c r="B11" s="10" t="inlineStr">
        <is>
          <t>(비어 있음)</t>
        </is>
      </c>
      <c r="C11" s="11" t="inlineStr">
        <is>
          <t>현재 미구현 - 개선 후보 / 사양 확인 필요 / 와이번 이름 중복(보스·필드)</t>
        </is>
      </c>
      <c r="D11" s="3" t="inlineStr">
        <is>
          <t>케이스가 왜 애매한지, 무엇을 물어봐야 하는지를 남긴다. 다음 사람이 같은 고민을 반복하지 않는다.</t>
        </is>
      </c>
    </row>
    <row r="13" ht="22" customHeight="1">
      <c r="A13" s="4" t="inlineStr">
        <is>
          <t>원칙</t>
        </is>
      </c>
    </row>
    <row r="14" ht="18.2" customHeight="1">
      <c r="A14" s="9" t="inlineStr">
        <is>
          <t>1</t>
        </is>
      </c>
      <c r="B14" s="3" t="inlineStr">
        <is>
          <t>시나리오는 '~인지 확인한다' 로, 기대결과는 관찰 가능한 사실로 끝낸다. '정상적으로 · 제대로 · 올바르게' 는 쓰지 않는다.</t>
        </is>
      </c>
      <c r="C14" s="12" t="n"/>
      <c r="D14" s="13" t="n"/>
    </row>
    <row r="15" ht="18.2" customHeight="1">
      <c r="A15" s="9" t="inlineStr">
        <is>
          <t>2</t>
        </is>
      </c>
      <c r="B15" s="3" t="inlineStr">
        <is>
          <t>한 케이스는 한 판정. 두 가지를 보면 두 건으로 나눈다. 반은 맞고 반은 틀린 케이스는 집계가 안 된다.</t>
        </is>
      </c>
      <c r="C15" s="12" t="n"/>
      <c r="D15" s="13" t="n"/>
    </row>
    <row r="16" ht="18.2" customHeight="1">
      <c r="A16" s="9" t="inlineStr">
        <is>
          <t>3</t>
        </is>
      </c>
      <c r="B16" s="3" t="inlineStr">
        <is>
          <t>기대결과에 숫자가 있을 수 있으면 숫자를 적는다. 출처(CSV·SO 필드명)를 괄호로 남긴다.</t>
        </is>
      </c>
      <c r="C16" s="12" t="n"/>
      <c r="D16" s="13" t="n"/>
    </row>
    <row r="17" ht="18.2" customHeight="1">
      <c r="A17" s="9" t="inlineStr">
        <is>
          <t>4</t>
        </is>
      </c>
      <c r="B17" s="3" t="inlineStr">
        <is>
          <t>쪼개는 기준은 코드 경로다. 데이터(레시피·아이템 종류)로 늘리지 않는다.</t>
        </is>
      </c>
      <c r="C17" s="12" t="n"/>
      <c r="D17" s="13" t="n"/>
    </row>
    <row r="18" ht="18.2" customHeight="1">
      <c r="A18" s="9" t="inlineStr">
        <is>
          <t>5</t>
        </is>
      </c>
      <c r="B18" s="3" t="inlineStr">
        <is>
          <t>사전 조건은 재현에 필요한 상태만. 실행 순서는 번호를 붙이고 한 줄에 한 동작.</t>
        </is>
      </c>
      <c r="C18" s="12" t="n"/>
      <c r="D18" s="13" t="n"/>
    </row>
    <row r="19" ht="18.2" customHeight="1">
      <c r="A19" s="9" t="inlineStr">
        <is>
          <t>6</t>
        </is>
      </c>
      <c r="B19" s="3" t="inlineStr">
        <is>
          <t>경계·예외 케이스와 기획상 차단 동작은 이 문서에서 뺀다. 필요하면 별도 문서로.</t>
        </is>
      </c>
      <c r="C19" s="12" t="n"/>
      <c r="D19" s="13" t="n"/>
    </row>
    <row r="20" ht="18.2" customHeight="1">
      <c r="A20" s="9" t="inlineStr">
        <is>
          <t>7</t>
        </is>
      </c>
      <c r="B20" s="3" t="inlineStr">
        <is>
          <t>검증 유형을 반드시 적는다. 어떤 시스템에 '상태' 가 0건이면 저장·재접속을 안 본 것이다. 그 빈칸이 곧 누락이다.</t>
        </is>
      </c>
      <c r="C20" s="12" t="n"/>
      <c r="D20" s="13" t="n"/>
    </row>
    <row r="21" ht="18.2" customHeight="1">
      <c r="A21" s="9" t="inlineStr">
        <is>
          <t>8</t>
        </is>
      </c>
      <c r="B21" s="3" t="inlineStr">
        <is>
          <t>우선순위는 좁게. 세이브 손실 · 소프트락 · 영구 오적용 · 크래시만 High.</t>
        </is>
      </c>
      <c r="C21" s="12" t="n"/>
      <c r="D21" s="13" t="n"/>
    </row>
    <row r="22" ht="18.2" customHeight="1">
      <c r="A22" s="9" t="inlineStr">
        <is>
          <t>9</t>
        </is>
      </c>
      <c r="B22" s="3" t="inlineStr">
        <is>
          <t>케이스 수정은 tc_data.py 에서 한다. 엑셀에서 직접 고치면 다음 생성 때 사라진다.</t>
        </is>
      </c>
      <c r="C22" s="12" t="n"/>
      <c r="D22" s="13" t="n"/>
    </row>
  </sheetData>
  <mergeCells count="9">
    <mergeCell ref="B19:D19"/>
    <mergeCell ref="B14:D14"/>
    <mergeCell ref="B22:D22"/>
    <mergeCell ref="B17:D17"/>
    <mergeCell ref="B18:D18"/>
    <mergeCell ref="B21:D21"/>
    <mergeCell ref="B15:D15"/>
    <mergeCell ref="B16:D16"/>
    <mergeCell ref="B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5" customWidth="1" min="4" max="4"/>
    <col width="9" customWidth="1" min="5" max="5"/>
    <col width="9" customWidth="1" min="6" max="6"/>
    <col width="20" customWidth="1" min="7" max="7"/>
    <col width="34" customWidth="1" min="8" max="8"/>
    <col width="34" customWidth="1" min="9" max="9"/>
    <col width="36" customWidth="1" min="10" max="10"/>
    <col width="7" customWidth="1" min="11" max="11"/>
    <col width="22" customWidth="1" min="12" max="12"/>
    <col width="18" customWidth="1" min="13" max="13"/>
    <col width="10" customWidth="1" min="14" max="14"/>
  </cols>
  <sheetData>
    <row r="1" ht="22" customHeight="1">
      <c r="A1" s="6" t="inlineStr">
        <is>
          <t>테스트 케이스  (원본 - 회차마다 복사해서 쓴다)</t>
        </is>
      </c>
    </row>
    <row r="2" ht="16" customHeight="1">
      <c r="A2" s="7" t="inlineStr">
        <is>
          <t>우선순위 High = 세이브 손실 · 소프트락 · 영구 스탯 오적용 · 크래시</t>
        </is>
      </c>
    </row>
    <row r="4" ht="26" customHeight="1">
      <c r="A4" s="8" t="inlineStr">
        <is>
          <t>No</t>
        </is>
      </c>
      <c r="B4" s="8" t="inlineStr">
        <is>
          <t>대분류</t>
        </is>
      </c>
      <c r="C4" s="8" t="inlineStr">
        <is>
          <t>중분류</t>
        </is>
      </c>
      <c r="D4" s="8" t="inlineStr">
        <is>
          <t>소분류</t>
        </is>
      </c>
      <c r="E4" s="8" t="inlineStr">
        <is>
          <t>검증 유형</t>
        </is>
      </c>
      <c r="F4" s="8" t="inlineStr">
        <is>
          <t>우선순위</t>
        </is>
      </c>
      <c r="G4" s="8" t="inlineStr">
        <is>
          <t>사전 조건</t>
        </is>
      </c>
      <c r="H4" s="8" t="inlineStr">
        <is>
          <t>테스트 시나리오</t>
        </is>
      </c>
      <c r="I4" s="8" t="inlineStr">
        <is>
          <t>실행 순서</t>
        </is>
      </c>
      <c r="J4" s="8" t="inlineStr">
        <is>
          <t>Pass Result</t>
        </is>
      </c>
      <c r="K4" s="8" t="inlineStr">
        <is>
          <t>P/F</t>
        </is>
      </c>
      <c r="L4" s="8" t="inlineStr">
        <is>
          <t>실제 결과</t>
        </is>
      </c>
      <c r="M4" s="8" t="inlineStr">
        <is>
          <t>비고</t>
        </is>
      </c>
      <c r="N4" s="8" t="inlineStr">
        <is>
          <t>결함 ID</t>
        </is>
      </c>
    </row>
    <row r="5" ht="31.4" customHeight="1">
      <c r="A5" s="14" t="n">
        <v>1</v>
      </c>
      <c r="B5" s="14" t="inlineStr">
        <is>
          <t>게임 실행</t>
        </is>
      </c>
      <c r="C5" s="14" t="inlineStr">
        <is>
          <t>실행/종료</t>
        </is>
      </c>
      <c r="D5" s="14" t="inlineStr">
        <is>
          <t>실행</t>
        </is>
      </c>
      <c r="E5" s="14" t="inlineStr">
        <is>
          <t>기능</t>
        </is>
      </c>
      <c r="F5" s="15" t="inlineStr">
        <is>
          <t>High</t>
        </is>
      </c>
      <c r="G5" s="3" t="inlineStr">
        <is>
          <t>빌드 설치, 게임 미실행</t>
        </is>
      </c>
      <c r="H5" s="3" t="inlineStr">
        <is>
          <t>실행 파일로 게임이 기동되는지 확인한다</t>
        </is>
      </c>
      <c r="I5" s="3" t="inlineStr">
        <is>
          <t>1. TimeKov.exe 실행
2. 타이틀까지 대기</t>
        </is>
      </c>
      <c r="J5" s="3" t="inlineStr">
        <is>
          <t>오류 창 없이 타이틀 화면이 뜨고 메뉴가 반응한다</t>
        </is>
      </c>
      <c r="K5" s="16" t="inlineStr"/>
      <c r="L5" s="17" t="inlineStr"/>
      <c r="M5" s="3" t="inlineStr"/>
      <c r="N5" s="16" t="inlineStr"/>
    </row>
    <row r="6" ht="31.4" customHeight="1">
      <c r="A6" s="14" t="n">
        <v>2</v>
      </c>
      <c r="B6" s="14" t="inlineStr">
        <is>
          <t>게임 실행</t>
        </is>
      </c>
      <c r="C6" s="14" t="inlineStr">
        <is>
          <t>실행/종료</t>
        </is>
      </c>
      <c r="D6" s="14" t="inlineStr">
        <is>
          <t>타이틀바</t>
        </is>
      </c>
      <c r="E6" s="14" t="inlineStr">
        <is>
          <t>연출</t>
        </is>
      </c>
      <c r="F6" s="14" t="inlineStr">
        <is>
          <t>Low</t>
        </is>
      </c>
      <c r="G6" s="3" t="inlineStr">
        <is>
          <t>게임 실행 직후</t>
        </is>
      </c>
      <c r="H6" s="3" t="inlineStr">
        <is>
          <t>윈도우 제목과 아이콘이 지정한 것인지 확인한다</t>
        </is>
      </c>
      <c r="I6" s="3" t="inlineStr">
        <is>
          <t>1. 작업표시줄과 창 제목 확인</t>
        </is>
      </c>
      <c r="J6" s="3" t="inlineStr">
        <is>
          <t>제목이 TimeKov 이고 전용 아이콘이 표시된다</t>
        </is>
      </c>
      <c r="K6" s="16" t="inlineStr"/>
      <c r="L6" s="17" t="inlineStr"/>
      <c r="M6" s="3" t="inlineStr"/>
      <c r="N6" s="16" t="inlineStr"/>
    </row>
    <row r="7" ht="31.4" customHeight="1">
      <c r="A7" s="14" t="n">
        <v>3</v>
      </c>
      <c r="B7" s="14" t="inlineStr">
        <is>
          <t>게임 실행</t>
        </is>
      </c>
      <c r="C7" s="14" t="inlineStr">
        <is>
          <t>실행/종료</t>
        </is>
      </c>
      <c r="D7" s="14" t="inlineStr">
        <is>
          <t>최소화 복귀</t>
        </is>
      </c>
      <c r="E7" s="14" t="inlineStr">
        <is>
          <t>상태</t>
        </is>
      </c>
      <c r="F7" s="14" t="inlineStr">
        <is>
          <t>Mid</t>
        </is>
      </c>
      <c r="G7" s="3" t="inlineStr">
        <is>
          <t>인게임 진입, 설비 가동 중</t>
        </is>
      </c>
      <c r="H7" s="3" t="inlineStr">
        <is>
          <t>최소화 후 복귀해도 상태가 이어지는지 확인한다</t>
        </is>
      </c>
      <c r="I7" s="3" t="inlineStr">
        <is>
          <t>1. 최소화
2. 30초 뒤 작업표시줄에서 복귀</t>
        </is>
      </c>
      <c r="J7" s="3" t="inlineStr">
        <is>
          <t>화면·조작이 돌아오고 설비 진행이 끊기지 않았다</t>
        </is>
      </c>
      <c r="K7" s="16" t="inlineStr"/>
      <c r="L7" s="17" t="inlineStr"/>
      <c r="M7" s="3" t="inlineStr"/>
      <c r="N7" s="16" t="inlineStr"/>
    </row>
    <row r="8" ht="44.59999999999999" customHeight="1">
      <c r="A8" s="14" t="n">
        <v>4</v>
      </c>
      <c r="B8" s="14" t="inlineStr">
        <is>
          <t>게임 실행</t>
        </is>
      </c>
      <c r="C8" s="14" t="inlineStr">
        <is>
          <t>실행/종료</t>
        </is>
      </c>
      <c r="D8" s="14" t="inlineStr">
        <is>
          <t>종료</t>
        </is>
      </c>
      <c r="E8" s="14" t="inlineStr">
        <is>
          <t>기능</t>
        </is>
      </c>
      <c r="F8" s="15" t="inlineStr">
        <is>
          <t>High</t>
        </is>
      </c>
      <c r="G8" s="3" t="inlineStr">
        <is>
          <t>인게임 진입 상태</t>
        </is>
      </c>
      <c r="H8" s="3" t="inlineStr">
        <is>
          <t>메뉴에서 종료하면 프로세스가 남지 않는지 확인한다</t>
        </is>
      </c>
      <c r="I8" s="3" t="inlineStr">
        <is>
          <t>1. ESC → 게임 종료
2. 확인
3. 작업 관리자 확인</t>
        </is>
      </c>
      <c r="J8" s="3" t="inlineStr">
        <is>
          <t>창이 닫히고 TimeKov 프로세스가 남지 않는다</t>
        </is>
      </c>
      <c r="K8" s="16" t="inlineStr"/>
      <c r="L8" s="17" t="inlineStr"/>
      <c r="M8" s="3" t="inlineStr"/>
      <c r="N8" s="16" t="inlineStr"/>
    </row>
    <row r="9" ht="31.4" customHeight="1">
      <c r="A9" s="14" t="n">
        <v>5</v>
      </c>
      <c r="B9" s="14" t="inlineStr">
        <is>
          <t>게임 실행</t>
        </is>
      </c>
      <c r="C9" s="14" t="inlineStr">
        <is>
          <t>실행/종료</t>
        </is>
      </c>
      <c r="D9" s="14" t="inlineStr">
        <is>
          <t>Alt+F4</t>
        </is>
      </c>
      <c r="E9" s="14" t="inlineStr">
        <is>
          <t>기능</t>
        </is>
      </c>
      <c r="F9" s="14" t="inlineStr">
        <is>
          <t>Mid</t>
        </is>
      </c>
      <c r="G9" s="3" t="inlineStr">
        <is>
          <t>인게임 진입 상태</t>
        </is>
      </c>
      <c r="H9" s="3" t="inlineStr">
        <is>
          <t>강제 종료 후 재실행이 되는지 확인한다</t>
        </is>
      </c>
      <c r="I9" s="3" t="inlineStr">
        <is>
          <t>1. Alt+F4
2. 재실행</t>
        </is>
      </c>
      <c r="J9" s="3" t="inlineStr">
        <is>
          <t>프로세스가 남지 않고 재실행 시 타이틀이 뜬다</t>
        </is>
      </c>
      <c r="K9" s="16" t="inlineStr"/>
      <c r="L9" s="17" t="inlineStr"/>
      <c r="M9" s="3" t="inlineStr"/>
      <c r="N9" s="16" t="inlineStr"/>
    </row>
    <row r="10" ht="44.59999999999999" customHeight="1">
      <c r="A10" s="14" t="n">
        <v>6</v>
      </c>
      <c r="B10" s="14" t="inlineStr">
        <is>
          <t>게임 실행</t>
        </is>
      </c>
      <c r="C10" s="14" t="inlineStr">
        <is>
          <t>화면</t>
        </is>
      </c>
      <c r="D10" s="14" t="inlineStr">
        <is>
          <t>해상도 변경</t>
        </is>
      </c>
      <c r="E10" s="14" t="inlineStr">
        <is>
          <t>기능</t>
        </is>
      </c>
      <c r="F10" s="15" t="inlineStr">
        <is>
          <t>High</t>
        </is>
      </c>
      <c r="G10" s="3" t="inlineStr">
        <is>
          <t>설정 창 진입</t>
        </is>
      </c>
      <c r="H10" s="3" t="inlineStr">
        <is>
          <t>해상도를 바꿔도 UI 가 깨지지 않는지 확인한다</t>
        </is>
      </c>
      <c r="I10" s="3" t="inlineStr">
        <is>
          <t>1. 설정 → 해상도를 1280x720 / 1920x1080 / 2560x1440 으로 각각 변경
2. 인벤토리·설비·스탯창 열기</t>
        </is>
      </c>
      <c r="J10" s="3" t="inlineStr">
        <is>
          <t>각 해상도에서 UI 가 잘리거나 겹치지 않고 마우스 좌표가 맞는다</t>
        </is>
      </c>
      <c r="K10" s="16" t="inlineStr"/>
      <c r="L10" s="17" t="inlineStr"/>
      <c r="M10" s="3" t="inlineStr"/>
      <c r="N10" s="16" t="inlineStr"/>
    </row>
    <row r="11" ht="31.4" customHeight="1">
      <c r="A11" s="14" t="n">
        <v>7</v>
      </c>
      <c r="B11" s="14" t="inlineStr">
        <is>
          <t>게임 실행</t>
        </is>
      </c>
      <c r="C11" s="14" t="inlineStr">
        <is>
          <t>화면</t>
        </is>
      </c>
      <c r="D11" s="14" t="inlineStr">
        <is>
          <t>전체화면 전환</t>
        </is>
      </c>
      <c r="E11" s="14" t="inlineStr">
        <is>
          <t>기능</t>
        </is>
      </c>
      <c r="F11" s="14" t="inlineStr">
        <is>
          <t>Mid</t>
        </is>
      </c>
      <c r="G11" s="3" t="inlineStr">
        <is>
          <t>설정 창 진입</t>
        </is>
      </c>
      <c r="H11" s="3" t="inlineStr">
        <is>
          <t>전체화면과 창모드를 오가도 화면이 유지되는지 확인한다</t>
        </is>
      </c>
      <c r="I11" s="3" t="inlineStr">
        <is>
          <t>1. 전체화면 → 창모드
2. 창모드 → 전체화면</t>
        </is>
      </c>
      <c r="J11" s="3" t="inlineStr">
        <is>
          <t>해상도가 유지되고 UI 배치와 마우스 좌표가 어긋나지 않는다</t>
        </is>
      </c>
      <c r="K11" s="16" t="inlineStr"/>
      <c r="L11" s="17" t="inlineStr"/>
      <c r="M11" s="3" t="inlineStr"/>
      <c r="N11" s="16" t="inlineStr"/>
    </row>
    <row r="12" ht="31.4" customHeight="1">
      <c r="A12" s="14" t="n">
        <v>8</v>
      </c>
      <c r="B12" s="14" t="inlineStr">
        <is>
          <t>게임 실행</t>
        </is>
      </c>
      <c r="C12" s="14" t="inlineStr">
        <is>
          <t>화면</t>
        </is>
      </c>
      <c r="D12" s="14" t="inlineStr">
        <is>
          <t>창 크기 변경</t>
        </is>
      </c>
      <c r="E12" s="14" t="inlineStr">
        <is>
          <t>기능</t>
        </is>
      </c>
      <c r="F12" s="14" t="inlineStr">
        <is>
          <t>Mid</t>
        </is>
      </c>
      <c r="G12" s="3" t="inlineStr">
        <is>
          <t>창모드</t>
        </is>
      </c>
      <c r="H12" s="3" t="inlineStr">
        <is>
          <t>창 크기를 바꿔도 UI 가 따라오는지 확인한다</t>
        </is>
      </c>
      <c r="I12" s="3" t="inlineStr">
        <is>
          <t>1. 창 모서리를 드래그해 크기 변경
2. HUD·인벤토리 확인</t>
        </is>
      </c>
      <c r="J12" s="3" t="inlineStr">
        <is>
          <t>UI 가 새 크기에 맞춰 배치되고 잘리지 않는다</t>
        </is>
      </c>
      <c r="K12" s="16" t="inlineStr"/>
      <c r="L12" s="17" t="inlineStr"/>
      <c r="M12" s="3" t="inlineStr"/>
      <c r="N12" s="16" t="inlineStr"/>
    </row>
    <row r="13" ht="44.59999999999999" customHeight="1">
      <c r="A13" s="14" t="n">
        <v>9</v>
      </c>
      <c r="B13" s="14" t="inlineStr">
        <is>
          <t>게임 실행</t>
        </is>
      </c>
      <c r="C13" s="14" t="inlineStr">
        <is>
          <t>데이터</t>
        </is>
      </c>
      <c r="D13" s="14" t="inlineStr">
        <is>
          <t>오프라인 구동</t>
        </is>
      </c>
      <c r="E13" s="14" t="inlineStr">
        <is>
          <t>데이터</t>
        </is>
      </c>
      <c r="F13" s="15" t="inlineStr">
        <is>
          <t>High</t>
        </is>
      </c>
      <c r="G13" s="3" t="inlineStr">
        <is>
          <t>네트워크 차단</t>
        </is>
      </c>
      <c r="H13" s="3" t="inlineStr">
        <is>
          <t>시트 서버 없이도 데이터가 로드되는지 확인한다</t>
        </is>
      </c>
      <c r="I13" s="3" t="inlineStr">
        <is>
          <t>1. 네트워크 끊기
2. 게임 실행
3. 인벤토리·설비 UI 열기</t>
        </is>
      </c>
      <c r="J13" s="3" t="inlineStr">
        <is>
          <t>네트워크 없이도 아이템·레시피 이름이 빈칸 없이 표시된다</t>
        </is>
      </c>
      <c r="K13" s="16" t="inlineStr"/>
      <c r="L13" s="17" t="inlineStr"/>
      <c r="M13" s="3" t="inlineStr"/>
      <c r="N13" s="16" t="inlineStr"/>
    </row>
    <row r="14" ht="31.4" customHeight="1">
      <c r="A14" s="14" t="n">
        <v>10</v>
      </c>
      <c r="B14" s="14" t="inlineStr">
        <is>
          <t>게임 실행</t>
        </is>
      </c>
      <c r="C14" s="14" t="inlineStr">
        <is>
          <t>데이터</t>
        </is>
      </c>
      <c r="D14" s="14" t="inlineStr">
        <is>
          <t>테이블 검증</t>
        </is>
      </c>
      <c r="E14" s="14" t="inlineStr">
        <is>
          <t>데이터</t>
        </is>
      </c>
      <c r="F14" s="14" t="inlineStr">
        <is>
          <t>Mid</t>
        </is>
      </c>
      <c r="G14" s="3" t="inlineStr">
        <is>
          <t>에디터 실행</t>
        </is>
      </c>
      <c r="H14" s="3" t="inlineStr">
        <is>
          <t>데이터 테이블 오류가 검증에서 잡히는지 확인한다</t>
        </is>
      </c>
      <c r="I14" s="3" t="inlineStr">
        <is>
          <t>1. 에디터 메뉴 시트 &gt; 검증 실행
2. 콘솔 확인</t>
        </is>
      </c>
      <c r="J14" s="3" t="inlineStr">
        <is>
          <t>누락·참조 오류 항목이 콘솔에 파일명과 함께 보고된다</t>
        </is>
      </c>
      <c r="K14" s="16" t="inlineStr"/>
      <c r="L14" s="17" t="inlineStr"/>
      <c r="M14" s="3" t="inlineStr"/>
      <c r="N14" s="16" t="inlineStr"/>
    </row>
    <row r="15" ht="31.4" customHeight="1">
      <c r="A15" s="14" t="n">
        <v>11</v>
      </c>
      <c r="B15" s="14" t="inlineStr">
        <is>
          <t>게임 실행</t>
        </is>
      </c>
      <c r="C15" s="14" t="inlineStr">
        <is>
          <t>성능</t>
        </is>
      </c>
      <c r="D15" s="14" t="inlineStr">
        <is>
          <t>지역별 프레임</t>
        </is>
      </c>
      <c r="E15" s="14" t="inlineStr">
        <is>
          <t>성능</t>
        </is>
      </c>
      <c r="F15" s="14" t="inlineStr">
        <is>
          <t>Mid</t>
        </is>
      </c>
      <c r="G15" s="3" t="inlineStr">
        <is>
          <t>각 지역 진입 가능</t>
        </is>
      </c>
      <c r="H15" s="3" t="inlineStr">
        <is>
          <t>지역별 프레임이 목표치 이상인지 확인한다</t>
        </is>
      </c>
      <c r="I15" s="3" t="inlineStr">
        <is>
          <t>1. 자연·설원·사막·용암 지역을 순회
2. 각 지역에서 프레임 측정</t>
        </is>
      </c>
      <c r="J15" s="3" t="inlineStr">
        <is>
          <t>모든 지역에서 60fps 이상을 유지한다</t>
        </is>
      </c>
      <c r="K15" s="16" t="inlineStr"/>
      <c r="L15" s="17" t="inlineStr"/>
      <c r="M15" s="3" t="inlineStr"/>
      <c r="N15" s="16" t="inlineStr"/>
    </row>
    <row r="16" ht="31.4" customHeight="1">
      <c r="A16" s="14" t="n">
        <v>12</v>
      </c>
      <c r="B16" s="14" t="inlineStr">
        <is>
          <t>게임 실행</t>
        </is>
      </c>
      <c r="C16" s="14" t="inlineStr">
        <is>
          <t>성능</t>
        </is>
      </c>
      <c r="D16" s="14" t="inlineStr">
        <is>
          <t>장시간 플레이</t>
        </is>
      </c>
      <c r="E16" s="14" t="inlineStr">
        <is>
          <t>성능</t>
        </is>
      </c>
      <c r="F16" s="15" t="inlineStr">
        <is>
          <t>High</t>
        </is>
      </c>
      <c r="G16" s="3" t="inlineStr">
        <is>
          <t>인게임 진입 상태</t>
        </is>
      </c>
      <c r="H16" s="3" t="inlineStr">
        <is>
          <t>장시간 플레이 시 메모리가 계속 늘지 않는지 확인한다</t>
        </is>
      </c>
      <c r="I16" s="3" t="inlineStr">
        <is>
          <t>1. 2시간 이상 연속 플레이
2. 30분마다 메모리 기록</t>
        </is>
      </c>
      <c r="J16" s="3" t="inlineStr">
        <is>
          <t>메모리가 우상향으로 계속 증가하지 않는다</t>
        </is>
      </c>
      <c r="K16" s="16" t="inlineStr"/>
      <c r="L16" s="17" t="inlineStr"/>
      <c r="M16" s="3" t="inlineStr"/>
      <c r="N16" s="16" t="inlineStr"/>
    </row>
    <row r="17" ht="31.4" customHeight="1">
      <c r="A17" s="14" t="n">
        <v>13</v>
      </c>
      <c r="B17" s="14" t="inlineStr">
        <is>
          <t>게임 실행</t>
        </is>
      </c>
      <c r="C17" s="14" t="inlineStr">
        <is>
          <t>성능</t>
        </is>
      </c>
      <c r="D17" s="14" t="inlineStr">
        <is>
          <t>로딩 시간</t>
        </is>
      </c>
      <c r="E17" s="14" t="inlineStr">
        <is>
          <t>성능</t>
        </is>
      </c>
      <c r="F17" s="14" t="inlineStr">
        <is>
          <t>Mid</t>
        </is>
      </c>
      <c r="G17" s="3" t="inlineStr">
        <is>
          <t>타이틀 화면</t>
        </is>
      </c>
      <c r="H17" s="3" t="inlineStr">
        <is>
          <t>인게임 진입 로딩이 기준 안에 끝나는지 확인한다</t>
        </is>
      </c>
      <c r="I17" s="3" t="inlineStr">
        <is>
          <t>1. 이어하기 선택
2. 월드 진입까지 시간 측정</t>
        </is>
      </c>
      <c r="J17" s="3" t="inlineStr">
        <is>
          <t>30초 안에 월드에 진입한다</t>
        </is>
      </c>
      <c r="K17" s="16" t="inlineStr"/>
      <c r="L17" s="17" t="inlineStr"/>
      <c r="M17" s="3" t="inlineStr"/>
      <c r="N17" s="16" t="inlineStr"/>
    </row>
    <row r="18" ht="31.4" customHeight="1">
      <c r="A18" s="14" t="n">
        <v>14</v>
      </c>
      <c r="B18" s="14" t="inlineStr">
        <is>
          <t>게임 실행</t>
        </is>
      </c>
      <c r="C18" s="14" t="inlineStr">
        <is>
          <t>씬 전환</t>
        </is>
      </c>
      <c r="D18" s="14" t="inlineStr">
        <is>
          <t>로딩 화면</t>
        </is>
      </c>
      <c r="E18" s="14" t="inlineStr">
        <is>
          <t>연출</t>
        </is>
      </c>
      <c r="F18" s="14" t="inlineStr">
        <is>
          <t>Mid</t>
        </is>
      </c>
      <c r="G18" s="3" t="inlineStr">
        <is>
          <t>씬 전환 시점</t>
        </is>
      </c>
      <c r="H18" s="3" t="inlineStr">
        <is>
          <t>로딩 화면이 멈춘 것처럼 보이지 않는지 확인한다</t>
        </is>
      </c>
      <c r="I18" s="3" t="inlineStr">
        <is>
          <t>1. 메인메뉴 → 월드 진입
2. 로딩 중 화면 관찰</t>
        </is>
      </c>
      <c r="J18" s="3" t="inlineStr">
        <is>
          <t>진행 표시가 움직이고 검은 화면으로 멈춰 있지 않다</t>
        </is>
      </c>
      <c r="K18" s="16" t="inlineStr"/>
      <c r="L18" s="17" t="inlineStr"/>
      <c r="M18" s="3" t="inlineStr"/>
      <c r="N18" s="16" t="inlineStr"/>
    </row>
    <row r="19" ht="31.4" customHeight="1">
      <c r="A19" s="18" t="n">
        <v>15</v>
      </c>
      <c r="B19" s="18" t="inlineStr">
        <is>
          <t>메인메뉴/세이브</t>
        </is>
      </c>
      <c r="C19" s="18" t="inlineStr">
        <is>
          <t>메인메뉴</t>
        </is>
      </c>
      <c r="D19" s="18" t="inlineStr">
        <is>
          <t>커서 표시</t>
        </is>
      </c>
      <c r="E19" s="18" t="inlineStr">
        <is>
          <t>연출</t>
        </is>
      </c>
      <c r="F19" s="18" t="inlineStr">
        <is>
          <t>Mid</t>
        </is>
      </c>
      <c r="G19" s="19" t="inlineStr">
        <is>
          <t>타이틀 화면</t>
        </is>
      </c>
      <c r="H19" s="19" t="inlineStr">
        <is>
          <t>메뉴에서 커서가 보이고 클릭이 되는지 확인한다</t>
        </is>
      </c>
      <c r="I19" s="19" t="inlineStr">
        <is>
          <t>1. 타이틀 진입
2. 마우스 이동·클릭</t>
        </is>
      </c>
      <c r="J19" s="19" t="inlineStr">
        <is>
          <t>커서가 표시되고 클릭해도 사라지지 않는다</t>
        </is>
      </c>
      <c r="K19" s="16" t="inlineStr"/>
      <c r="L19" s="17" t="inlineStr"/>
      <c r="M19" s="19" t="inlineStr"/>
      <c r="N19" s="16" t="inlineStr"/>
    </row>
    <row r="20" ht="31.4" customHeight="1">
      <c r="A20" s="18" t="n">
        <v>16</v>
      </c>
      <c r="B20" s="18" t="inlineStr">
        <is>
          <t>메인메뉴/세이브</t>
        </is>
      </c>
      <c r="C20" s="18" t="inlineStr">
        <is>
          <t>메인메뉴</t>
        </is>
      </c>
      <c r="D20" s="18" t="inlineStr">
        <is>
          <t>버튼 동작</t>
        </is>
      </c>
      <c r="E20" s="18" t="inlineStr">
        <is>
          <t>기능</t>
        </is>
      </c>
      <c r="F20" s="15" t="inlineStr">
        <is>
          <t>High</t>
        </is>
      </c>
      <c r="G20" s="19" t="inlineStr">
        <is>
          <t>타이틀 화면</t>
        </is>
      </c>
      <c r="H20" s="19" t="inlineStr">
        <is>
          <t>메뉴 버튼이 각각 맞는 화면으로 가는지 확인한다</t>
        </is>
      </c>
      <c r="I20" s="19" t="inlineStr">
        <is>
          <t>1. 새 게임 / 이어하기 / 설정 / 제작진 / 종료를 각각 클릭</t>
        </is>
      </c>
      <c r="J20" s="19" t="inlineStr">
        <is>
          <t>각 버튼이 해당 화면으로 이동하고 뒤로가기가 된다</t>
        </is>
      </c>
      <c r="K20" s="16" t="inlineStr"/>
      <c r="L20" s="17" t="inlineStr"/>
      <c r="M20" s="19" t="inlineStr"/>
      <c r="N20" s="16" t="inlineStr"/>
    </row>
    <row r="21" ht="31.4" customHeight="1">
      <c r="A21" s="18" t="n">
        <v>17</v>
      </c>
      <c r="B21" s="18" t="inlineStr">
        <is>
          <t>메인메뉴/세이브</t>
        </is>
      </c>
      <c r="C21" s="18" t="inlineStr">
        <is>
          <t>메인메뉴</t>
        </is>
      </c>
      <c r="D21" s="18" t="inlineStr">
        <is>
          <t>제작진</t>
        </is>
      </c>
      <c r="E21" s="18" t="inlineStr">
        <is>
          <t>기능</t>
        </is>
      </c>
      <c r="F21" s="18" t="inlineStr">
        <is>
          <t>Low</t>
        </is>
      </c>
      <c r="G21" s="19" t="inlineStr">
        <is>
          <t>타이틀 화면</t>
        </is>
      </c>
      <c r="H21" s="19" t="inlineStr">
        <is>
          <t>제작진 화면이 열리고 닫히는지 확인한다</t>
        </is>
      </c>
      <c r="I21" s="19" t="inlineStr">
        <is>
          <t>1. 제작진 클릭
2. ESC</t>
        </is>
      </c>
      <c r="J21" s="19" t="inlineStr">
        <is>
          <t>제작진 목록이 표시되고 ESC 로 타이틀로 돌아온다</t>
        </is>
      </c>
      <c r="K21" s="16" t="inlineStr"/>
      <c r="L21" s="17" t="inlineStr"/>
      <c r="M21" s="19" t="inlineStr"/>
      <c r="N21" s="16" t="inlineStr"/>
    </row>
    <row r="22" ht="44.59999999999999" customHeight="1">
      <c r="A22" s="18" t="n">
        <v>18</v>
      </c>
      <c r="B22" s="18" t="inlineStr">
        <is>
          <t>메인메뉴/세이브</t>
        </is>
      </c>
      <c r="C22" s="18" t="inlineStr">
        <is>
          <t>월드 선택</t>
        </is>
      </c>
      <c r="D22" s="18" t="inlineStr">
        <is>
          <t>슬롯 생성</t>
        </is>
      </c>
      <c r="E22" s="18" t="inlineStr">
        <is>
          <t>기능</t>
        </is>
      </c>
      <c r="F22" s="15" t="inlineStr">
        <is>
          <t>High</t>
        </is>
      </c>
      <c r="G22" s="19" t="inlineStr">
        <is>
          <t>새 게임 선택</t>
        </is>
      </c>
      <c r="H22" s="19" t="inlineStr">
        <is>
          <t>새 월드가 생성되는지 확인한다</t>
        </is>
      </c>
      <c r="I22" s="19" t="inlineStr">
        <is>
          <t>1. 새 게임
2. 이름 입력
3. 생성</t>
        </is>
      </c>
      <c r="J22" s="19" t="inlineStr">
        <is>
          <t>슬롯이 생기고 프롤로그로 진입한다</t>
        </is>
      </c>
      <c r="K22" s="16" t="inlineStr"/>
      <c r="L22" s="17" t="inlineStr"/>
      <c r="M22" s="19" t="inlineStr"/>
      <c r="N22" s="16" t="inlineStr"/>
    </row>
    <row r="23" ht="31.4" customHeight="1">
      <c r="A23" s="18" t="n">
        <v>19</v>
      </c>
      <c r="B23" s="18" t="inlineStr">
        <is>
          <t>메인메뉴/세이브</t>
        </is>
      </c>
      <c r="C23" s="18" t="inlineStr">
        <is>
          <t>월드 선택</t>
        </is>
      </c>
      <c r="D23" s="18" t="inlineStr">
        <is>
          <t>슬롯 정보</t>
        </is>
      </c>
      <c r="E23" s="18" t="inlineStr">
        <is>
          <t>데이터</t>
        </is>
      </c>
      <c r="F23" s="18" t="inlineStr">
        <is>
          <t>Mid</t>
        </is>
      </c>
      <c r="G23" s="19" t="inlineStr">
        <is>
          <t>저장된 월드 존재</t>
        </is>
      </c>
      <c r="H23" s="19" t="inlineStr">
        <is>
          <t>슬롯에 표시되는 정보가 실제와 맞는지 확인한다</t>
        </is>
      </c>
      <c r="I23" s="19" t="inlineStr">
        <is>
          <t>1. 월드 선택 화면 진입
2. 이름·플레이 시간·저장 시각 확인</t>
        </is>
      </c>
      <c r="J23" s="19" t="inlineStr">
        <is>
          <t>마지막 저장 시각과 누적 플레이 시간이 실제와 일치한다</t>
        </is>
      </c>
      <c r="K23" s="16" t="inlineStr"/>
      <c r="L23" s="17" t="inlineStr"/>
      <c r="M23" s="19" t="inlineStr"/>
      <c r="N23" s="16" t="inlineStr"/>
    </row>
    <row r="24" ht="31.4" customHeight="1">
      <c r="A24" s="18" t="n">
        <v>20</v>
      </c>
      <c r="B24" s="18" t="inlineStr">
        <is>
          <t>메인메뉴/세이브</t>
        </is>
      </c>
      <c r="C24" s="18" t="inlineStr">
        <is>
          <t>월드 선택</t>
        </is>
      </c>
      <c r="D24" s="18" t="inlineStr">
        <is>
          <t>슬롯 삭제</t>
        </is>
      </c>
      <c r="E24" s="18" t="inlineStr">
        <is>
          <t>기능</t>
        </is>
      </c>
      <c r="F24" s="15" t="inlineStr">
        <is>
          <t>High</t>
        </is>
      </c>
      <c r="G24" s="19" t="inlineStr">
        <is>
          <t>저장된 월드 존재</t>
        </is>
      </c>
      <c r="H24" s="19" t="inlineStr">
        <is>
          <t>월드 삭제가 확인창을 거쳐 처리되는지 확인한다</t>
        </is>
      </c>
      <c r="I24" s="19" t="inlineStr">
        <is>
          <t>1. 삭제 클릭
2. 확인창에서 삭제</t>
        </is>
      </c>
      <c r="J24" s="19" t="inlineStr">
        <is>
          <t>슬롯이 목록에서 사라지고 세이브 폴더도 삭제된다</t>
        </is>
      </c>
      <c r="K24" s="16" t="inlineStr"/>
      <c r="L24" s="17" t="inlineStr"/>
      <c r="M24" s="19" t="inlineStr"/>
      <c r="N24" s="16" t="inlineStr"/>
    </row>
    <row r="25" ht="31.4" customHeight="1">
      <c r="A25" s="18" t="n">
        <v>21</v>
      </c>
      <c r="B25" s="18" t="inlineStr">
        <is>
          <t>메인메뉴/세이브</t>
        </is>
      </c>
      <c r="C25" s="18" t="inlineStr">
        <is>
          <t>월드 선택</t>
        </is>
      </c>
      <c r="D25" s="18" t="inlineStr">
        <is>
          <t>삭제 취소</t>
        </is>
      </c>
      <c r="E25" s="18" t="inlineStr">
        <is>
          <t>기능</t>
        </is>
      </c>
      <c r="F25" s="18" t="inlineStr">
        <is>
          <t>Mid</t>
        </is>
      </c>
      <c r="G25" s="19" t="inlineStr">
        <is>
          <t>저장된 월드 존재</t>
        </is>
      </c>
      <c r="H25" s="19" t="inlineStr">
        <is>
          <t>삭제 확인창에서 취소하면 남는지 확인한다</t>
        </is>
      </c>
      <c r="I25" s="19" t="inlineStr">
        <is>
          <t>1. 삭제 클릭
2. 확인창에서 취소</t>
        </is>
      </c>
      <c r="J25" s="19" t="inlineStr">
        <is>
          <t>슬롯이 그대로 남아 있다</t>
        </is>
      </c>
      <c r="K25" s="16" t="inlineStr"/>
      <c r="L25" s="17" t="inlineStr"/>
      <c r="M25" s="19" t="inlineStr"/>
      <c r="N25" s="16" t="inlineStr"/>
    </row>
    <row r="26" ht="44.59999999999999" customHeight="1">
      <c r="A26" s="18" t="n">
        <v>22</v>
      </c>
      <c r="B26" s="18" t="inlineStr">
        <is>
          <t>메인메뉴/세이브</t>
        </is>
      </c>
      <c r="C26" s="18" t="inlineStr">
        <is>
          <t>월드 선택</t>
        </is>
      </c>
      <c r="D26" s="18" t="inlineStr">
        <is>
          <t>이름 입력</t>
        </is>
      </c>
      <c r="E26" s="18" t="inlineStr">
        <is>
          <t>기능</t>
        </is>
      </c>
      <c r="F26" s="18" t="inlineStr">
        <is>
          <t>Mid</t>
        </is>
      </c>
      <c r="G26" s="19" t="inlineStr">
        <is>
          <t>새 게임 선택</t>
        </is>
      </c>
      <c r="H26" s="19" t="inlineStr">
        <is>
          <t>입력한 이름이 슬롯과 인게임에 반영되는지 확인한다</t>
        </is>
      </c>
      <c r="I26" s="19" t="inlineStr">
        <is>
          <t>1. 한글·영문 혼합 이름 입력
2. 생성
3. 월드 선택 화면 재확인</t>
        </is>
      </c>
      <c r="J26" s="19" t="inlineStr">
        <is>
          <t>입력한 이름이 그대로 표시된다</t>
        </is>
      </c>
      <c r="K26" s="16" t="inlineStr"/>
      <c r="L26" s="17" t="inlineStr"/>
      <c r="M26" s="19" t="inlineStr"/>
      <c r="N26" s="16" t="inlineStr"/>
    </row>
    <row r="27" ht="31.4" customHeight="1">
      <c r="A27" s="18" t="n">
        <v>23</v>
      </c>
      <c r="B27" s="18" t="inlineStr">
        <is>
          <t>메인메뉴/세이브</t>
        </is>
      </c>
      <c r="C27" s="18" t="inlineStr">
        <is>
          <t>설정</t>
        </is>
      </c>
      <c r="D27" s="18" t="inlineStr">
        <is>
          <t>사운드 볼륨</t>
        </is>
      </c>
      <c r="E27" s="18" t="inlineStr">
        <is>
          <t>기능</t>
        </is>
      </c>
      <c r="F27" s="18" t="inlineStr">
        <is>
          <t>Mid</t>
        </is>
      </c>
      <c r="G27" s="19" t="inlineStr">
        <is>
          <t>설정 창 진입</t>
        </is>
      </c>
      <c r="H27" s="19" t="inlineStr">
        <is>
          <t>BGM·효과음 슬라이더가 즉시 반영되는지 확인한다</t>
        </is>
      </c>
      <c r="I27" s="19" t="inlineStr">
        <is>
          <t>1. BGM 슬라이더 조절
2. 효과음 슬라이더 조절</t>
        </is>
      </c>
      <c r="J27" s="19" t="inlineStr">
        <is>
          <t>조절하는 즉시 해당 소리 크기가 변한다</t>
        </is>
      </c>
      <c r="K27" s="16" t="inlineStr"/>
      <c r="L27" s="17" t="inlineStr"/>
      <c r="M27" s="19" t="inlineStr"/>
      <c r="N27" s="16" t="inlineStr"/>
    </row>
    <row r="28" ht="44.59999999999999" customHeight="1">
      <c r="A28" s="18" t="n">
        <v>24</v>
      </c>
      <c r="B28" s="18" t="inlineStr">
        <is>
          <t>메인메뉴/세이브</t>
        </is>
      </c>
      <c r="C28" s="18" t="inlineStr">
        <is>
          <t>설정</t>
        </is>
      </c>
      <c r="D28" s="18" t="inlineStr">
        <is>
          <t>볼륨 유지</t>
        </is>
      </c>
      <c r="E28" s="18" t="inlineStr">
        <is>
          <t>상태</t>
        </is>
      </c>
      <c r="F28" s="18" t="inlineStr">
        <is>
          <t>Mid</t>
        </is>
      </c>
      <c r="G28" s="19" t="inlineStr">
        <is>
          <t>볼륨 조절 후</t>
        </is>
      </c>
      <c r="H28" s="19" t="inlineStr">
        <is>
          <t>씬을 이동해도 볼륨이 유지되는지 확인한다</t>
        </is>
      </c>
      <c r="I28" s="19" t="inlineStr">
        <is>
          <t>1. 볼륨 50% 로 설정
2. 메인메뉴 ↔ 월드 이동
3. 볼륨 확인</t>
        </is>
      </c>
      <c r="J28" s="19" t="inlineStr">
        <is>
          <t>이동 후에도 50% 가 유지된다</t>
        </is>
      </c>
      <c r="K28" s="16" t="inlineStr"/>
      <c r="L28" s="17" t="inlineStr"/>
      <c r="M28" s="19" t="inlineStr"/>
      <c r="N28" s="16" t="inlineStr"/>
    </row>
    <row r="29" ht="31.4" customHeight="1">
      <c r="A29" s="18" t="n">
        <v>25</v>
      </c>
      <c r="B29" s="18" t="inlineStr">
        <is>
          <t>메인메뉴/세이브</t>
        </is>
      </c>
      <c r="C29" s="18" t="inlineStr">
        <is>
          <t>설정</t>
        </is>
      </c>
      <c r="D29" s="18" t="inlineStr">
        <is>
          <t>키 리바인드</t>
        </is>
      </c>
      <c r="E29" s="18" t="inlineStr">
        <is>
          <t>기능</t>
        </is>
      </c>
      <c r="F29" s="18" t="inlineStr">
        <is>
          <t>Mid</t>
        </is>
      </c>
      <c r="G29" s="19" t="inlineStr">
        <is>
          <t>설정 창 진입</t>
        </is>
      </c>
      <c r="H29" s="19" t="inlineStr">
        <is>
          <t>키를 바꾸면 그 키로 동작하는지 확인한다</t>
        </is>
      </c>
      <c r="I29" s="19" t="inlineStr">
        <is>
          <t>1. 대시 키를 F 로 변경
2. 인게임에서 F 입력</t>
        </is>
      </c>
      <c r="J29" s="19" t="inlineStr">
        <is>
          <t>F 로 대시가 발동하고 원래 키로는 발동하지 않는다</t>
        </is>
      </c>
      <c r="K29" s="16" t="inlineStr"/>
      <c r="L29" s="17" t="inlineStr"/>
      <c r="M29" s="19" t="inlineStr"/>
      <c r="N29" s="16" t="inlineStr"/>
    </row>
    <row r="30" ht="44.59999999999999" customHeight="1">
      <c r="A30" s="18" t="n">
        <v>26</v>
      </c>
      <c r="B30" s="18" t="inlineStr">
        <is>
          <t>메인메뉴/세이브</t>
        </is>
      </c>
      <c r="C30" s="18" t="inlineStr">
        <is>
          <t>설정</t>
        </is>
      </c>
      <c r="D30" s="18" t="inlineStr">
        <is>
          <t>설정 유지</t>
        </is>
      </c>
      <c r="E30" s="18" t="inlineStr">
        <is>
          <t>상태</t>
        </is>
      </c>
      <c r="F30" s="15" t="inlineStr">
        <is>
          <t>High</t>
        </is>
      </c>
      <c r="G30" s="19" t="inlineStr">
        <is>
          <t>설정 변경 후</t>
        </is>
      </c>
      <c r="H30" s="19" t="inlineStr">
        <is>
          <t>게임을 껐다 켜도 설정이 남는지 확인한다</t>
        </is>
      </c>
      <c r="I30" s="19" t="inlineStr">
        <is>
          <t>1. 볼륨·감도·키 변경
2. 게임 종료
3. 재실행 후 설정 확인</t>
        </is>
      </c>
      <c r="J30" s="19" t="inlineStr">
        <is>
          <t>변경한 값이 그대로 남아 있다</t>
        </is>
      </c>
      <c r="K30" s="16" t="inlineStr"/>
      <c r="L30" s="17" t="inlineStr"/>
      <c r="M30" s="19" t="inlineStr"/>
      <c r="N30" s="16" t="inlineStr"/>
    </row>
    <row r="31" ht="31.4" customHeight="1">
      <c r="A31" s="18" t="n">
        <v>27</v>
      </c>
      <c r="B31" s="18" t="inlineStr">
        <is>
          <t>메인메뉴/세이브</t>
        </is>
      </c>
      <c r="C31" s="18" t="inlineStr">
        <is>
          <t>설정</t>
        </is>
      </c>
      <c r="D31" s="18" t="inlineStr">
        <is>
          <t>기본값 복원</t>
        </is>
      </c>
      <c r="E31" s="18" t="inlineStr">
        <is>
          <t>기능</t>
        </is>
      </c>
      <c r="F31" s="18" t="inlineStr">
        <is>
          <t>Mid</t>
        </is>
      </c>
      <c r="G31" s="19" t="inlineStr">
        <is>
          <t>설정 변경 후</t>
        </is>
      </c>
      <c r="H31" s="19" t="inlineStr">
        <is>
          <t>초기화 버튼이 모든 항목을 되돌리는지 확인한다</t>
        </is>
      </c>
      <c r="I31" s="19" t="inlineStr">
        <is>
          <t>1. 여러 항목 변경
2. 기본값 복원 클릭</t>
        </is>
      </c>
      <c r="J31" s="19" t="inlineStr">
        <is>
          <t>볼륨·감도·키·화질이 전부 기본값으로 돌아간다</t>
        </is>
      </c>
      <c r="K31" s="16" t="inlineStr"/>
      <c r="L31" s="17" t="inlineStr"/>
      <c r="M31" s="19" t="inlineStr"/>
      <c r="N31" s="16" t="inlineStr"/>
    </row>
    <row r="32" ht="31.4" customHeight="1">
      <c r="A32" s="18" t="n">
        <v>28</v>
      </c>
      <c r="B32" s="18" t="inlineStr">
        <is>
          <t>메인메뉴/세이브</t>
        </is>
      </c>
      <c r="C32" s="18" t="inlineStr">
        <is>
          <t>설정</t>
        </is>
      </c>
      <c r="D32" s="18" t="inlineStr">
        <is>
          <t>화질 프리셋</t>
        </is>
      </c>
      <c r="E32" s="18" t="inlineStr">
        <is>
          <t>기능</t>
        </is>
      </c>
      <c r="F32" s="18" t="inlineStr">
        <is>
          <t>Mid</t>
        </is>
      </c>
      <c r="G32" s="19" t="inlineStr">
        <is>
          <t>설정 창 진입</t>
        </is>
      </c>
      <c r="H32" s="19" t="inlineStr">
        <is>
          <t>낮음/보통/높음 전환이 화면에 반영되는지 확인한다</t>
        </is>
      </c>
      <c r="I32" s="19" t="inlineStr">
        <is>
          <t>1. 각 프리셋으로 변경
2. 인게임 그림자·텍스처 관찰</t>
        </is>
      </c>
      <c r="J32" s="19" t="inlineStr">
        <is>
          <t>프리셋마다 그림자 품질과 텍스처 선명도가 눈에 띄게 달라진다</t>
        </is>
      </c>
      <c r="K32" s="16" t="inlineStr"/>
      <c r="L32" s="17" t="inlineStr"/>
      <c r="M32" s="19" t="inlineStr"/>
      <c r="N32" s="16" t="inlineStr"/>
    </row>
    <row r="33" ht="31.4" customHeight="1">
      <c r="A33" s="18" t="n">
        <v>29</v>
      </c>
      <c r="B33" s="18" t="inlineStr">
        <is>
          <t>메인메뉴/세이브</t>
        </is>
      </c>
      <c r="C33" s="18" t="inlineStr">
        <is>
          <t>설정</t>
        </is>
      </c>
      <c r="D33" s="18" t="inlineStr">
        <is>
          <t>그림자·텍스처</t>
        </is>
      </c>
      <c r="E33" s="18" t="inlineStr">
        <is>
          <t>기능</t>
        </is>
      </c>
      <c r="F33" s="18" t="inlineStr">
        <is>
          <t>Low</t>
        </is>
      </c>
      <c r="G33" s="19" t="inlineStr">
        <is>
          <t>설정 창 진입</t>
        </is>
      </c>
      <c r="H33" s="19" t="inlineStr">
        <is>
          <t>개별 품질 항목이 각각 반영되는지 확인한다</t>
        </is>
      </c>
      <c r="I33" s="19" t="inlineStr">
        <is>
          <t>1. 그림자만 낮음으로
2. 텍스처만 낮음으로</t>
        </is>
      </c>
      <c r="J33" s="19" t="inlineStr">
        <is>
          <t>바꾼 항목만 변하고 다른 항목은 유지된다</t>
        </is>
      </c>
      <c r="K33" s="16" t="inlineStr"/>
      <c r="L33" s="17" t="inlineStr"/>
      <c r="M33" s="19" t="inlineStr"/>
      <c r="N33" s="16" t="inlineStr"/>
    </row>
    <row r="34" ht="44.59999999999999" customHeight="1">
      <c r="A34" s="18" t="n">
        <v>30</v>
      </c>
      <c r="B34" s="18" t="inlineStr">
        <is>
          <t>메인메뉴/세이브</t>
        </is>
      </c>
      <c r="C34" s="18" t="inlineStr">
        <is>
          <t>설정</t>
        </is>
      </c>
      <c r="D34" s="18" t="inlineStr">
        <is>
          <t>마우스 감도</t>
        </is>
      </c>
      <c r="E34" s="18" t="inlineStr">
        <is>
          <t>기능</t>
        </is>
      </c>
      <c r="F34" s="18" t="inlineStr">
        <is>
          <t>Mid</t>
        </is>
      </c>
      <c r="G34" s="19" t="inlineStr">
        <is>
          <t>설정 창 진입</t>
        </is>
      </c>
      <c r="H34" s="19" t="inlineStr">
        <is>
          <t>감도 슬라이더가 시점 회전에 반영되는지 확인한다</t>
        </is>
      </c>
      <c r="I34" s="19" t="inlineStr">
        <is>
          <t>1. 감도 최소로
2. 마우스 10cm 이동
3. 감도 최대로 같은 동작</t>
        </is>
      </c>
      <c r="J34" s="19" t="inlineStr">
        <is>
          <t>같은 이동에 회전량이 눈에 띄게 달라진다</t>
        </is>
      </c>
      <c r="K34" s="16" t="inlineStr"/>
      <c r="L34" s="17" t="inlineStr"/>
      <c r="M34" s="19" t="inlineStr"/>
      <c r="N34" s="16" t="inlineStr"/>
    </row>
    <row r="35" ht="31.4" customHeight="1">
      <c r="A35" s="18" t="n">
        <v>31</v>
      </c>
      <c r="B35" s="18" t="inlineStr">
        <is>
          <t>메인메뉴/세이브</t>
        </is>
      </c>
      <c r="C35" s="18" t="inlineStr">
        <is>
          <t>세이브</t>
        </is>
      </c>
      <c r="D35" s="18" t="inlineStr">
        <is>
          <t>수동 저장</t>
        </is>
      </c>
      <c r="E35" s="18" t="inlineStr">
        <is>
          <t>상태</t>
        </is>
      </c>
      <c r="F35" s="15" t="inlineStr">
        <is>
          <t>High</t>
        </is>
      </c>
      <c r="G35" s="19" t="inlineStr">
        <is>
          <t>인게임 진입 상태</t>
        </is>
      </c>
      <c r="H35" s="19" t="inlineStr">
        <is>
          <t>수동 저장이 파일을 남기는지 확인한다</t>
        </is>
      </c>
      <c r="I35" s="19" t="inlineStr">
        <is>
          <t>1. ESC → 저장
2. 세이브 폴더 확인</t>
        </is>
      </c>
      <c r="J35" s="19" t="inlineStr">
        <is>
          <t>save.json 의 수정 시각이 갱신된다</t>
        </is>
      </c>
      <c r="K35" s="16" t="inlineStr"/>
      <c r="L35" s="17" t="inlineStr"/>
      <c r="M35" s="19" t="inlineStr"/>
      <c r="N35" s="16" t="inlineStr"/>
    </row>
    <row r="36" ht="44.59999999999999" customHeight="1">
      <c r="A36" s="18" t="n">
        <v>32</v>
      </c>
      <c r="B36" s="18" t="inlineStr">
        <is>
          <t>메인메뉴/세이브</t>
        </is>
      </c>
      <c r="C36" s="18" t="inlineStr">
        <is>
          <t>세이브</t>
        </is>
      </c>
      <c r="D36" s="18" t="inlineStr">
        <is>
          <t>위치 복원</t>
        </is>
      </c>
      <c r="E36" s="18" t="inlineStr">
        <is>
          <t>상태</t>
        </is>
      </c>
      <c r="F36" s="15" t="inlineStr">
        <is>
          <t>High</t>
        </is>
      </c>
      <c r="G36" s="19" t="inlineStr">
        <is>
          <t>저장 후 이동</t>
        </is>
      </c>
      <c r="H36" s="19" t="inlineStr">
        <is>
          <t>이어하기 시 마지막 저장 위치로 오는지 확인한다</t>
        </is>
      </c>
      <c r="I36" s="19" t="inlineStr">
        <is>
          <t>1. 특정 위치에서 저장
2. 다른 곳으로 이동
3. 종료 후 이어하기</t>
        </is>
      </c>
      <c r="J36" s="19" t="inlineStr">
        <is>
          <t>저장한 위치·시점으로 복원된다</t>
        </is>
      </c>
      <c r="K36" s="16" t="inlineStr"/>
      <c r="L36" s="17" t="inlineStr"/>
      <c r="M36" s="19" t="inlineStr"/>
      <c r="N36" s="16" t="inlineStr"/>
    </row>
    <row r="37" ht="44.59999999999999" customHeight="1">
      <c r="A37" s="18" t="n">
        <v>33</v>
      </c>
      <c r="B37" s="18" t="inlineStr">
        <is>
          <t>메인메뉴/세이브</t>
        </is>
      </c>
      <c r="C37" s="18" t="inlineStr">
        <is>
          <t>세이브</t>
        </is>
      </c>
      <c r="D37" s="18" t="inlineStr">
        <is>
          <t>인벤토리 복원</t>
        </is>
      </c>
      <c r="E37" s="18" t="inlineStr">
        <is>
          <t>상태</t>
        </is>
      </c>
      <c r="F37" s="15" t="inlineStr">
        <is>
          <t>High</t>
        </is>
      </c>
      <c r="G37" s="19" t="inlineStr">
        <is>
          <t>아이템 보유 후 저장</t>
        </is>
      </c>
      <c r="H37" s="19" t="inlineStr">
        <is>
          <t>인벤토리와 창고가 그대로 복원되는지 확인한다</t>
        </is>
      </c>
      <c r="I37" s="19" t="inlineStr">
        <is>
          <t>1. 아이템 수량 기록
2. 저장·종료
3. 이어하기 후 대조</t>
        </is>
      </c>
      <c r="J37" s="19" t="inlineStr">
        <is>
          <t>슬롯 위치와 수량이 저장 시점과 일치한다</t>
        </is>
      </c>
      <c r="K37" s="16" t="inlineStr"/>
      <c r="L37" s="17" t="inlineStr"/>
      <c r="M37" s="19" t="inlineStr"/>
      <c r="N37" s="16" t="inlineStr"/>
    </row>
    <row r="38" ht="31.4" customHeight="1">
      <c r="A38" s="18" t="n">
        <v>34</v>
      </c>
      <c r="B38" s="18" t="inlineStr">
        <is>
          <t>메인메뉴/세이브</t>
        </is>
      </c>
      <c r="C38" s="18" t="inlineStr">
        <is>
          <t>세이브</t>
        </is>
      </c>
      <c r="D38" s="18" t="inlineStr">
        <is>
          <t>퀘스트 복원</t>
        </is>
      </c>
      <c r="E38" s="18" t="inlineStr">
        <is>
          <t>상태</t>
        </is>
      </c>
      <c r="F38" s="15" t="inlineStr">
        <is>
          <t>High</t>
        </is>
      </c>
      <c r="G38" s="19" t="inlineStr">
        <is>
          <t>퀘스트 진행 중 저장</t>
        </is>
      </c>
      <c r="H38" s="19" t="inlineStr">
        <is>
          <t>퀘스트 진행도가 복원되는지 확인한다</t>
        </is>
      </c>
      <c r="I38" s="19" t="inlineStr">
        <is>
          <t>1. 목표 3개 중 2개 달성 후 저장
2. 종료 후 이어하기</t>
        </is>
      </c>
      <c r="J38" s="19" t="inlineStr">
        <is>
          <t>2/3 진행 상태와 추적기 표시가 그대로다</t>
        </is>
      </c>
      <c r="K38" s="16" t="inlineStr"/>
      <c r="L38" s="17" t="inlineStr"/>
      <c r="M38" s="19" t="inlineStr"/>
      <c r="N38" s="16" t="inlineStr"/>
    </row>
    <row r="39" ht="44.59999999999999" customHeight="1">
      <c r="A39" s="18" t="n">
        <v>35</v>
      </c>
      <c r="B39" s="18" t="inlineStr">
        <is>
          <t>메인메뉴/세이브</t>
        </is>
      </c>
      <c r="C39" s="18" t="inlineStr">
        <is>
          <t>세이브</t>
        </is>
      </c>
      <c r="D39" s="18" t="inlineStr">
        <is>
          <t>기믹 복원</t>
        </is>
      </c>
      <c r="E39" s="18" t="inlineStr">
        <is>
          <t>상태</t>
        </is>
      </c>
      <c r="F39" s="15" t="inlineStr">
        <is>
          <t>High</t>
        </is>
      </c>
      <c r="G39" s="19" t="inlineStr">
        <is>
          <t>퍼즐 해결 후 저장</t>
        </is>
      </c>
      <c r="H39" s="19" t="inlineStr">
        <is>
          <t>해결한 기믹이 해결된 채 복원되는지 확인한다</t>
        </is>
      </c>
      <c r="I39" s="19" t="inlineStr">
        <is>
          <t>1. 스위치 퍼즐 해결
2. 저장·종료
3. 이어하기 후 해당 위치</t>
        </is>
      </c>
      <c r="J39" s="19" t="inlineStr">
        <is>
          <t>문이 열린 상태이고 퍼즐이 다시 요구되지 않는다</t>
        </is>
      </c>
      <c r="K39" s="16" t="inlineStr"/>
      <c r="L39" s="17" t="inlineStr"/>
      <c r="M39" s="19" t="inlineStr"/>
      <c r="N39" s="16" t="inlineStr"/>
    </row>
    <row r="40" ht="44.59999999999999" customHeight="1">
      <c r="A40" s="18" t="n">
        <v>36</v>
      </c>
      <c r="B40" s="18" t="inlineStr">
        <is>
          <t>메인메뉴/세이브</t>
        </is>
      </c>
      <c r="C40" s="18" t="inlineStr">
        <is>
          <t>세이브</t>
        </is>
      </c>
      <c r="D40" s="18" t="inlineStr">
        <is>
          <t>설비 복원</t>
        </is>
      </c>
      <c r="E40" s="18" t="inlineStr">
        <is>
          <t>상태</t>
        </is>
      </c>
      <c r="F40" s="15" t="inlineStr">
        <is>
          <t>High</t>
        </is>
      </c>
      <c r="G40" s="19" t="inlineStr">
        <is>
          <t>설비 가동 중 저장</t>
        </is>
      </c>
      <c r="H40" s="19" t="inlineStr">
        <is>
          <t>설비·벨트·재고가 복원되는지 확인한다</t>
        </is>
      </c>
      <c r="I40" s="19" t="inlineStr">
        <is>
          <t>1. 설비 3대 + 벨트 배치, 재료 투입
2. 저장·종료
3. 이어하기</t>
        </is>
      </c>
      <c r="J40" s="19" t="inlineStr">
        <is>
          <t>배치·회전·연료·재료·출력 재고가 그대로다</t>
        </is>
      </c>
      <c r="K40" s="16" t="inlineStr"/>
      <c r="L40" s="17" t="inlineStr"/>
      <c r="M40" s="19" t="inlineStr"/>
      <c r="N40" s="16" t="inlineStr"/>
    </row>
    <row r="41" ht="44.59999999999999" customHeight="1">
      <c r="A41" s="18" t="n">
        <v>37</v>
      </c>
      <c r="B41" s="18" t="inlineStr">
        <is>
          <t>메인메뉴/세이브</t>
        </is>
      </c>
      <c r="C41" s="18" t="inlineStr">
        <is>
          <t>세이브</t>
        </is>
      </c>
      <c r="D41" s="18" t="inlineStr">
        <is>
          <t>상자 쿨타임</t>
        </is>
      </c>
      <c r="E41" s="18" t="inlineStr">
        <is>
          <t>상태</t>
        </is>
      </c>
      <c r="F41" s="18" t="inlineStr">
        <is>
          <t>Mid</t>
        </is>
      </c>
      <c r="G41" s="19" t="inlineStr">
        <is>
          <t>상자 개봉 후 저장</t>
        </is>
      </c>
      <c r="H41" s="19" t="inlineStr">
        <is>
          <t>상자 리젠 남은 시간이 복원되는지 확인한다</t>
        </is>
      </c>
      <c r="I41" s="19" t="inlineStr">
        <is>
          <t>1. 상자 열기
2. 저장·종료
3. 이어하기 후 상자 확인</t>
        </is>
      </c>
      <c r="J41" s="19" t="inlineStr">
        <is>
          <t>남은 쿨타임이 저장 시점 기준으로 이어진다</t>
        </is>
      </c>
      <c r="K41" s="16" t="inlineStr"/>
      <c r="L41" s="17" t="inlineStr"/>
      <c r="M41" s="19" t="inlineStr"/>
      <c r="N41" s="16" t="inlineStr"/>
    </row>
    <row r="42" ht="44.59999999999999" customHeight="1">
      <c r="A42" s="18" t="n">
        <v>38</v>
      </c>
      <c r="B42" s="18" t="inlineStr">
        <is>
          <t>메인메뉴/세이브</t>
        </is>
      </c>
      <c r="C42" s="18" t="inlineStr">
        <is>
          <t>세이브</t>
        </is>
      </c>
      <c r="D42" s="18" t="inlineStr">
        <is>
          <t>다중 슬롯 독립</t>
        </is>
      </c>
      <c r="E42" s="18" t="inlineStr">
        <is>
          <t>상태</t>
        </is>
      </c>
      <c r="F42" s="15" t="inlineStr">
        <is>
          <t>High</t>
        </is>
      </c>
      <c r="G42" s="19" t="inlineStr">
        <is>
          <t>월드 2개 이상</t>
        </is>
      </c>
      <c r="H42" s="19" t="inlineStr">
        <is>
          <t>슬롯끼리 데이터가 섞이지 않는지 확인한다</t>
        </is>
      </c>
      <c r="I42" s="19" t="inlineStr">
        <is>
          <t>1. A 월드에서 아이템 획득 후 저장
2. B 월드 진입
3. B 인벤토리 확인</t>
        </is>
      </c>
      <c r="J42" s="19" t="inlineStr">
        <is>
          <t>B 에는 A 의 아이템이 없다</t>
        </is>
      </c>
      <c r="K42" s="16" t="inlineStr"/>
      <c r="L42" s="17" t="inlineStr"/>
      <c r="M42" s="19" t="inlineStr"/>
      <c r="N42" s="16" t="inlineStr"/>
    </row>
    <row r="43" ht="44.59999999999999" customHeight="1">
      <c r="A43" s="18" t="n">
        <v>39</v>
      </c>
      <c r="B43" s="18" t="inlineStr">
        <is>
          <t>메인메뉴/세이브</t>
        </is>
      </c>
      <c r="C43" s="18" t="inlineStr">
        <is>
          <t>세이브</t>
        </is>
      </c>
      <c r="D43" s="18" t="inlineStr">
        <is>
          <t>우주선 진행 복원</t>
        </is>
      </c>
      <c r="E43" s="18" t="inlineStr">
        <is>
          <t>상태</t>
        </is>
      </c>
      <c r="F43" s="15" t="inlineStr">
        <is>
          <t>High</t>
        </is>
      </c>
      <c r="G43" s="19" t="inlineStr">
        <is>
          <t>수리 단계 진행 후 저장</t>
        </is>
      </c>
      <c r="H43" s="19" t="inlineStr">
        <is>
          <t>우주선 수리 단계가 복원되는지 확인한다</t>
        </is>
      </c>
      <c r="I43" s="19" t="inlineStr">
        <is>
          <t>1. 수리 3단계 달성
2. 저장·종료
3. 이어하기</t>
        </is>
      </c>
      <c r="J43" s="19" t="inlineStr">
        <is>
          <t>수리 단계 3 과 외형이 유지된다</t>
        </is>
      </c>
      <c r="K43" s="16" t="inlineStr"/>
      <c r="L43" s="17" t="inlineStr"/>
      <c r="M43" s="19" t="inlineStr"/>
      <c r="N43" s="16" t="inlineStr"/>
    </row>
    <row r="44" ht="44.59999999999999" customHeight="1">
      <c r="A44" s="18" t="n">
        <v>40</v>
      </c>
      <c r="B44" s="18" t="inlineStr">
        <is>
          <t>메인메뉴/세이브</t>
        </is>
      </c>
      <c r="C44" s="18" t="inlineStr">
        <is>
          <t>세이브</t>
        </is>
      </c>
      <c r="D44" s="18" t="inlineStr">
        <is>
          <t>도감 복원</t>
        </is>
      </c>
      <c r="E44" s="18" t="inlineStr">
        <is>
          <t>상태</t>
        </is>
      </c>
      <c r="F44" s="18" t="inlineStr">
        <is>
          <t>Mid</t>
        </is>
      </c>
      <c r="G44" s="19" t="inlineStr">
        <is>
          <t>도감 해금 후 저장</t>
        </is>
      </c>
      <c r="H44" s="19" t="inlineStr">
        <is>
          <t>해금된 도감 항목이 복원되는지 확인한다</t>
        </is>
      </c>
      <c r="I44" s="19" t="inlineStr">
        <is>
          <t>1. 신규 아이템 5종 획득
2. 저장·종료
3. 도감 확인</t>
        </is>
      </c>
      <c r="J44" s="19" t="inlineStr">
        <is>
          <t>5종이 해금 상태로 표시된다</t>
        </is>
      </c>
      <c r="K44" s="16" t="inlineStr"/>
      <c r="L44" s="17" t="inlineStr"/>
      <c r="M44" s="19" t="inlineStr"/>
      <c r="N44" s="16" t="inlineStr"/>
    </row>
    <row r="45" ht="44.59999999999999" customHeight="1">
      <c r="A45" s="18" t="n">
        <v>41</v>
      </c>
      <c r="B45" s="18" t="inlineStr">
        <is>
          <t>메인메뉴/세이브</t>
        </is>
      </c>
      <c r="C45" s="18" t="inlineStr">
        <is>
          <t>세이브</t>
        </is>
      </c>
      <c r="D45" s="18" t="inlineStr">
        <is>
          <t>귀환석 쿨 복원</t>
        </is>
      </c>
      <c r="E45" s="18" t="inlineStr">
        <is>
          <t>상태</t>
        </is>
      </c>
      <c r="F45" s="18" t="inlineStr">
        <is>
          <t>Mid</t>
        </is>
      </c>
      <c r="G45" s="19" t="inlineStr">
        <is>
          <t>귀환석 사용 후 저장</t>
        </is>
      </c>
      <c r="H45" s="19" t="inlineStr">
        <is>
          <t>귀환석 남은 쿨타임이 복원되는지 확인한다</t>
        </is>
      </c>
      <c r="I45" s="19" t="inlineStr">
        <is>
          <t>1. 귀환석 사용
2. 저장·종료
3. 이어하기</t>
        </is>
      </c>
      <c r="J45" s="19" t="inlineStr">
        <is>
          <t>쿨타임이 저장 시점 잔여치에서 이어진다</t>
        </is>
      </c>
      <c r="K45" s="16" t="inlineStr"/>
      <c r="L45" s="17" t="inlineStr"/>
      <c r="M45" s="19" t="inlineStr"/>
      <c r="N45" s="16" t="inlineStr"/>
    </row>
    <row r="46" ht="31.4" customHeight="1">
      <c r="A46" s="14" t="n">
        <v>42</v>
      </c>
      <c r="B46" s="14" t="inlineStr">
        <is>
          <t>프롤로그/컷신</t>
        </is>
      </c>
      <c r="C46" s="14" t="inlineStr">
        <is>
          <t>인트로</t>
        </is>
      </c>
      <c r="D46" s="14" t="inlineStr">
        <is>
          <t>영상 재생</t>
        </is>
      </c>
      <c r="E46" s="14" t="inlineStr">
        <is>
          <t>연출</t>
        </is>
      </c>
      <c r="F46" s="14" t="inlineStr">
        <is>
          <t>Mid</t>
        </is>
      </c>
      <c r="G46" s="3" t="inlineStr">
        <is>
          <t>새 게임 시작</t>
        </is>
      </c>
      <c r="H46" s="3" t="inlineStr">
        <is>
          <t>인트로 영상이 끊김 없이 재생되는지 확인한다</t>
        </is>
      </c>
      <c r="I46" s="3" t="inlineStr">
        <is>
          <t>1. 새 게임
2. 영상 끝까지 시청</t>
        </is>
      </c>
      <c r="J46" s="3" t="inlineStr">
        <is>
          <t>영상과 소리가 끊기지 않고 끝까지 재생된다</t>
        </is>
      </c>
      <c r="K46" s="16" t="inlineStr"/>
      <c r="L46" s="17" t="inlineStr"/>
      <c r="M46" s="3" t="inlineStr"/>
      <c r="N46" s="16" t="inlineStr"/>
    </row>
    <row r="47" ht="31.4" customHeight="1">
      <c r="A47" s="14" t="n">
        <v>43</v>
      </c>
      <c r="B47" s="14" t="inlineStr">
        <is>
          <t>프롤로그/컷신</t>
        </is>
      </c>
      <c r="C47" s="14" t="inlineStr">
        <is>
          <t>인트로</t>
        </is>
      </c>
      <c r="D47" s="14" t="inlineStr">
        <is>
          <t>스킵</t>
        </is>
      </c>
      <c r="E47" s="14" t="inlineStr">
        <is>
          <t>기능</t>
        </is>
      </c>
      <c r="F47" s="14" t="inlineStr">
        <is>
          <t>Mid</t>
        </is>
      </c>
      <c r="G47" s="3" t="inlineStr">
        <is>
          <t>인트로 재생 중</t>
        </is>
      </c>
      <c r="H47" s="3" t="inlineStr">
        <is>
          <t>스킵 입력이 영상을 건너뛰는지 확인한다</t>
        </is>
      </c>
      <c r="I47" s="3" t="inlineStr">
        <is>
          <t>1. 영상 중 ESC 또는 스킵 키</t>
        </is>
      </c>
      <c r="J47" s="3" t="inlineStr">
        <is>
          <t>영상이 끝나고 추락 시퀀스로 넘어간다</t>
        </is>
      </c>
      <c r="K47" s="16" t="inlineStr"/>
      <c r="L47" s="17" t="inlineStr"/>
      <c r="M47" s="3" t="inlineStr"/>
      <c r="N47" s="16" t="inlineStr"/>
    </row>
    <row r="48" ht="31.4" customHeight="1">
      <c r="A48" s="14" t="n">
        <v>44</v>
      </c>
      <c r="B48" s="14" t="inlineStr">
        <is>
          <t>프롤로그/컷신</t>
        </is>
      </c>
      <c r="C48" s="14" t="inlineStr">
        <is>
          <t>추락 시퀀스</t>
        </is>
      </c>
      <c r="D48" s="14" t="inlineStr">
        <is>
          <t>진행</t>
        </is>
      </c>
      <c r="E48" s="14" t="inlineStr">
        <is>
          <t>연출</t>
        </is>
      </c>
      <c r="F48" s="15" t="inlineStr">
        <is>
          <t>High</t>
        </is>
      </c>
      <c r="G48" s="3" t="inlineStr">
        <is>
          <t>인트로 종료</t>
        </is>
      </c>
      <c r="H48" s="3" t="inlineStr">
        <is>
          <t>추락 연출이 끝까지 진행되는지 확인한다</t>
        </is>
      </c>
      <c r="I48" s="3" t="inlineStr">
        <is>
          <t>1. 추락 시퀀스 관찰
2. 착지까지 대기</t>
        </is>
      </c>
      <c r="J48" s="3" t="inlineStr">
        <is>
          <t>카메라 흔들림·충돌 연출이 나오고 착지 후 조작이 열린다</t>
        </is>
      </c>
      <c r="K48" s="16" t="inlineStr"/>
      <c r="L48" s="17" t="inlineStr"/>
      <c r="M48" s="3" t="inlineStr"/>
      <c r="N48" s="16" t="inlineStr"/>
    </row>
    <row r="49" ht="31.4" customHeight="1">
      <c r="A49" s="14" t="n">
        <v>45</v>
      </c>
      <c r="B49" s="14" t="inlineStr">
        <is>
          <t>프롤로그/컷신</t>
        </is>
      </c>
      <c r="C49" s="14" t="inlineStr">
        <is>
          <t>추락 시퀀스</t>
        </is>
      </c>
      <c r="D49" s="14" t="inlineStr">
        <is>
          <t>중간 저장</t>
        </is>
      </c>
      <c r="E49" s="14" t="inlineStr">
        <is>
          <t>상태</t>
        </is>
      </c>
      <c r="F49" s="15" t="inlineStr">
        <is>
          <t>High</t>
        </is>
      </c>
      <c r="G49" s="3" t="inlineStr">
        <is>
          <t>추락 시퀀스 중</t>
        </is>
      </c>
      <c r="H49" s="3" t="inlineStr">
        <is>
          <t>시퀀스 도중 종료해도 이어지는지 확인한다</t>
        </is>
      </c>
      <c r="I49" s="3" t="inlineStr">
        <is>
          <t>1. 추락 중 Alt+F4
2. 이어하기</t>
        </is>
      </c>
      <c r="J49" s="3" t="inlineStr">
        <is>
          <t>프롤로그 처음이 아니라 중간 지점부터 이어진다</t>
        </is>
      </c>
      <c r="K49" s="16" t="inlineStr"/>
      <c r="L49" s="17" t="inlineStr"/>
      <c r="M49" s="3" t="inlineStr"/>
      <c r="N49" s="16" t="inlineStr"/>
    </row>
    <row r="50" ht="31.4" customHeight="1">
      <c r="A50" s="14" t="n">
        <v>46</v>
      </c>
      <c r="B50" s="14" t="inlineStr">
        <is>
          <t>프롤로그/컷신</t>
        </is>
      </c>
      <c r="C50" s="14" t="inlineStr">
        <is>
          <t>비상 콘솔</t>
        </is>
      </c>
      <c r="D50" s="14" t="inlineStr">
        <is>
          <t>상호작용</t>
        </is>
      </c>
      <c r="E50" s="14" t="inlineStr">
        <is>
          <t>기능</t>
        </is>
      </c>
      <c r="F50" s="15" t="inlineStr">
        <is>
          <t>High</t>
        </is>
      </c>
      <c r="G50" s="3" t="inlineStr">
        <is>
          <t>착지 후</t>
        </is>
      </c>
      <c r="H50" s="3" t="inlineStr">
        <is>
          <t>비상 콘솔 상호작용이 되는지 확인한다</t>
        </is>
      </c>
      <c r="I50" s="3" t="inlineStr">
        <is>
          <t>1. 콘솔에 접근
2. F 입력</t>
        </is>
      </c>
      <c r="J50" s="3" t="inlineStr">
        <is>
          <t>콘솔 UI 가 열리고 다음 안내가 표시된다</t>
        </is>
      </c>
      <c r="K50" s="16" t="inlineStr"/>
      <c r="L50" s="17" t="inlineStr"/>
      <c r="M50" s="3" t="inlineStr"/>
      <c r="N50" s="16" t="inlineStr"/>
    </row>
    <row r="51" ht="18.2" customHeight="1">
      <c r="A51" s="14" t="n">
        <v>47</v>
      </c>
      <c r="B51" s="14" t="inlineStr">
        <is>
          <t>프롤로그/컷신</t>
        </is>
      </c>
      <c r="C51" s="14" t="inlineStr">
        <is>
          <t>비상 콘솔</t>
        </is>
      </c>
      <c r="D51" s="14" t="inlineStr">
        <is>
          <t>힌트 표시</t>
        </is>
      </c>
      <c r="E51" s="14" t="inlineStr">
        <is>
          <t>연출</t>
        </is>
      </c>
      <c r="F51" s="14" t="inlineStr">
        <is>
          <t>Mid</t>
        </is>
      </c>
      <c r="G51" s="3" t="inlineStr">
        <is>
          <t>착지 후</t>
        </is>
      </c>
      <c r="H51" s="3" t="inlineStr">
        <is>
          <t>콘솔 위치 힌트가 보이는지 확인한다</t>
        </is>
      </c>
      <c r="I51" s="3" t="inlineStr">
        <is>
          <t>1. 착지 직후 화면 확인</t>
        </is>
      </c>
      <c r="J51" s="3" t="inlineStr">
        <is>
          <t>콘솔 방향 표시 또는 안내 문구가 나타난다</t>
        </is>
      </c>
      <c r="K51" s="16" t="inlineStr"/>
      <c r="L51" s="17" t="inlineStr"/>
      <c r="M51" s="3" t="inlineStr"/>
      <c r="N51" s="16" t="inlineStr"/>
    </row>
    <row r="52" ht="31.4" customHeight="1">
      <c r="A52" s="14" t="n">
        <v>48</v>
      </c>
      <c r="B52" s="14" t="inlineStr">
        <is>
          <t>프롤로그/컷신</t>
        </is>
      </c>
      <c r="C52" s="14" t="inlineStr">
        <is>
          <t>프롤로그</t>
        </is>
      </c>
      <c r="D52" s="14" t="inlineStr">
        <is>
          <t>완료 전환</t>
        </is>
      </c>
      <c r="E52" s="14" t="inlineStr">
        <is>
          <t>기능</t>
        </is>
      </c>
      <c r="F52" s="15" t="inlineStr">
        <is>
          <t>High</t>
        </is>
      </c>
      <c r="G52" s="3" t="inlineStr">
        <is>
          <t>비상 콘솔 처리 완료</t>
        </is>
      </c>
      <c r="H52" s="3" t="inlineStr">
        <is>
          <t>프롤로그가 끝나면 월드로 넘어가는지 확인한다</t>
        </is>
      </c>
      <c r="I52" s="3" t="inlineStr">
        <is>
          <t>1. 콘솔 안내를 따라 완료
2. 전환 대기</t>
        </is>
      </c>
      <c r="J52" s="3" t="inlineStr">
        <is>
          <t>월드 씬으로 로딩되고 첫 퀘스트가 수락된다</t>
        </is>
      </c>
      <c r="K52" s="16" t="inlineStr"/>
      <c r="L52" s="17" t="inlineStr"/>
      <c r="M52" s="3" t="inlineStr"/>
      <c r="N52" s="16" t="inlineStr"/>
    </row>
    <row r="53" ht="31.4" customHeight="1">
      <c r="A53" s="18" t="n">
        <v>49</v>
      </c>
      <c r="B53" s="18" t="inlineStr">
        <is>
          <t>플레이어</t>
        </is>
      </c>
      <c r="C53" s="18" t="inlineStr">
        <is>
          <t>이동</t>
        </is>
      </c>
      <c r="D53" s="18" t="inlineStr">
        <is>
          <t>기본 이동</t>
        </is>
      </c>
      <c r="E53" s="18" t="inlineStr">
        <is>
          <t>기능</t>
        </is>
      </c>
      <c r="F53" s="15" t="inlineStr">
        <is>
          <t>High</t>
        </is>
      </c>
      <c r="G53" s="19" t="inlineStr">
        <is>
          <t>월드 진입, 조작 가능</t>
        </is>
      </c>
      <c r="H53" s="19" t="inlineStr">
        <is>
          <t>WASD 로 네 방향 이동이 되는지 확인한다</t>
        </is>
      </c>
      <c r="I53" s="19" t="inlineStr">
        <is>
          <t>1. W/A/S/D 를 각각 2초씩 입력</t>
        </is>
      </c>
      <c r="J53" s="19" t="inlineStr">
        <is>
          <t>입력 방향으로 캐릭터가 이동하고 떼면 멈춘다</t>
        </is>
      </c>
      <c r="K53" s="16" t="inlineStr"/>
      <c r="L53" s="17" t="inlineStr"/>
      <c r="M53" s="19" t="inlineStr"/>
      <c r="N53" s="16" t="inlineStr"/>
    </row>
    <row r="54" ht="31.4" customHeight="1">
      <c r="A54" s="18" t="n">
        <v>50</v>
      </c>
      <c r="B54" s="18" t="inlineStr">
        <is>
          <t>플레이어</t>
        </is>
      </c>
      <c r="C54" s="18" t="inlineStr">
        <is>
          <t>이동</t>
        </is>
      </c>
      <c r="D54" s="18" t="inlineStr">
        <is>
          <t>달리기</t>
        </is>
      </c>
      <c r="E54" s="18" t="inlineStr">
        <is>
          <t>기능</t>
        </is>
      </c>
      <c r="F54" s="15" t="inlineStr">
        <is>
          <t>High</t>
        </is>
      </c>
      <c r="G54" s="19" t="inlineStr">
        <is>
          <t>스태미나 최대</t>
        </is>
      </c>
      <c r="H54" s="19" t="inlineStr">
        <is>
          <t>달리기 키를 누르고 이동하면 속도가 오르는지 확인한다</t>
        </is>
      </c>
      <c r="I54" s="19" t="inlineStr">
        <is>
          <t>1. Shift 를 누른 채 W 입력
2. 속도 관찰</t>
        </is>
      </c>
      <c r="J54" s="19" t="inlineStr">
        <is>
          <t>걷기보다 눈에 띄게 빨라지고 스태미나 바가 줄어든다</t>
        </is>
      </c>
      <c r="K54" s="16" t="inlineStr"/>
      <c r="L54" s="17" t="inlineStr"/>
      <c r="M54" s="19" t="inlineStr"/>
      <c r="N54" s="16" t="inlineStr"/>
    </row>
    <row r="55" ht="31.4" customHeight="1">
      <c r="A55" s="18" t="n">
        <v>51</v>
      </c>
      <c r="B55" s="18" t="inlineStr">
        <is>
          <t>플레이어</t>
        </is>
      </c>
      <c r="C55" s="18" t="inlineStr">
        <is>
          <t>이동</t>
        </is>
      </c>
      <c r="D55" s="18" t="inlineStr">
        <is>
          <t>카메라 상대 이동</t>
        </is>
      </c>
      <c r="E55" s="18" t="inlineStr">
        <is>
          <t>기능</t>
        </is>
      </c>
      <c r="F55" s="15" t="inlineStr">
        <is>
          <t>High</t>
        </is>
      </c>
      <c r="G55" s="19" t="inlineStr">
        <is>
          <t>조작 가능</t>
        </is>
      </c>
      <c r="H55" s="19" t="inlineStr">
        <is>
          <t>이동 방향이 카메라 기준인지 확인한다</t>
        </is>
      </c>
      <c r="I55" s="19" t="inlineStr">
        <is>
          <t>1. 카메라를 90도 돌린다
2. W 입력</t>
        </is>
      </c>
      <c r="J55" s="19" t="inlineStr">
        <is>
          <t>화면 기준 앞쪽으로 이동한다</t>
        </is>
      </c>
      <c r="K55" s="16" t="inlineStr"/>
      <c r="L55" s="17" t="inlineStr"/>
      <c r="M55" s="19" t="inlineStr"/>
      <c r="N55" s="16" t="inlineStr"/>
    </row>
    <row r="56" ht="31.4" customHeight="1">
      <c r="A56" s="18" t="n">
        <v>52</v>
      </c>
      <c r="B56" s="18" t="inlineStr">
        <is>
          <t>플레이어</t>
        </is>
      </c>
      <c r="C56" s="18" t="inlineStr">
        <is>
          <t>이동</t>
        </is>
      </c>
      <c r="D56" s="18" t="inlineStr">
        <is>
          <t>이동 중 회전</t>
        </is>
      </c>
      <c r="E56" s="18" t="inlineStr">
        <is>
          <t>연출</t>
        </is>
      </c>
      <c r="F56" s="18" t="inlineStr">
        <is>
          <t>Mid</t>
        </is>
      </c>
      <c r="G56" s="19" t="inlineStr">
        <is>
          <t>이동 중</t>
        </is>
      </c>
      <c r="H56" s="19" t="inlineStr">
        <is>
          <t>방향을 바꿀 때 몸이 부드럽게 도는지 확인한다</t>
        </is>
      </c>
      <c r="I56" s="19" t="inlineStr">
        <is>
          <t>1. W 로 이동 중 S 입력</t>
        </is>
      </c>
      <c r="J56" s="19" t="inlineStr">
        <is>
          <t>즉시 뒤집히지 않고 몇 프레임에 걸쳐 회전한다</t>
        </is>
      </c>
      <c r="K56" s="16" t="inlineStr"/>
      <c r="L56" s="17" t="inlineStr"/>
      <c r="M56" s="19" t="inlineStr"/>
      <c r="N56" s="16" t="inlineStr"/>
    </row>
    <row r="57" ht="31.4" customHeight="1">
      <c r="A57" s="18" t="n">
        <v>53</v>
      </c>
      <c r="B57" s="18" t="inlineStr">
        <is>
          <t>플레이어</t>
        </is>
      </c>
      <c r="C57" s="18" t="inlineStr">
        <is>
          <t>지형</t>
        </is>
      </c>
      <c r="D57" s="18" t="inlineStr">
        <is>
          <t>경사 오르기</t>
        </is>
      </c>
      <c r="E57" s="18" t="inlineStr">
        <is>
          <t>경계</t>
        </is>
      </c>
      <c r="F57" s="15" t="inlineStr">
        <is>
          <t>High</t>
        </is>
      </c>
      <c r="G57" s="19" t="inlineStr">
        <is>
          <t>44도 이하 경사 앞</t>
        </is>
      </c>
      <c r="H57" s="19" t="inlineStr">
        <is>
          <t>오를 수 있는 경사를 미끄러지지 않고 오르는지 확인한다</t>
        </is>
      </c>
      <c r="I57" s="19" t="inlineStr">
        <is>
          <t>1. 44도 경사로 전진</t>
        </is>
      </c>
      <c r="J57" s="19" t="inlineStr">
        <is>
          <t>미끄러지지 않고 꼭대기까지 오른다</t>
        </is>
      </c>
      <c r="K57" s="16" t="inlineStr"/>
      <c r="L57" s="17" t="inlineStr"/>
      <c r="M57" s="19" t="inlineStr"/>
      <c r="N57" s="16" t="inlineStr"/>
    </row>
    <row r="58" ht="18.2" customHeight="1">
      <c r="A58" s="18" t="n">
        <v>54</v>
      </c>
      <c r="B58" s="18" t="inlineStr">
        <is>
          <t>플레이어</t>
        </is>
      </c>
      <c r="C58" s="18" t="inlineStr">
        <is>
          <t>지형</t>
        </is>
      </c>
      <c r="D58" s="18" t="inlineStr">
        <is>
          <t>계단/턱</t>
        </is>
      </c>
      <c r="E58" s="18" t="inlineStr">
        <is>
          <t>기능</t>
        </is>
      </c>
      <c r="F58" s="18" t="inlineStr">
        <is>
          <t>Mid</t>
        </is>
      </c>
      <c r="G58" s="19" t="inlineStr">
        <is>
          <t>낮은 턱 앞</t>
        </is>
      </c>
      <c r="H58" s="19" t="inlineStr">
        <is>
          <t>낮은 턱을 자동으로 넘는지 확인한다</t>
        </is>
      </c>
      <c r="I58" s="19" t="inlineStr">
        <is>
          <t>1. 무릎 높이 턱으로 전진</t>
        </is>
      </c>
      <c r="J58" s="19" t="inlineStr">
        <is>
          <t>걸리지 않고 자연스럽게 올라선다</t>
        </is>
      </c>
      <c r="K58" s="16" t="inlineStr"/>
      <c r="L58" s="17" t="inlineStr"/>
      <c r="M58" s="19" t="inlineStr"/>
      <c r="N58" s="16" t="inlineStr"/>
    </row>
    <row r="59" ht="31.4" customHeight="1">
      <c r="A59" s="18" t="n">
        <v>55</v>
      </c>
      <c r="B59" s="18" t="inlineStr">
        <is>
          <t>플레이어</t>
        </is>
      </c>
      <c r="C59" s="18" t="inlineStr">
        <is>
          <t>지형</t>
        </is>
      </c>
      <c r="D59" s="18" t="inlineStr">
        <is>
          <t>끼임 탈출</t>
        </is>
      </c>
      <c r="E59" s="18" t="inlineStr">
        <is>
          <t>기능</t>
        </is>
      </c>
      <c r="F59" s="18" t="inlineStr">
        <is>
          <t>Mid</t>
        </is>
      </c>
      <c r="G59" s="19" t="inlineStr">
        <is>
          <t>지형 사이에 끼인 상태</t>
        </is>
      </c>
      <c r="H59" s="19" t="inlineStr">
        <is>
          <t>설정의 탈출 기능이 안전한 곳으로 옮기는지 확인한다</t>
        </is>
      </c>
      <c r="I59" s="19" t="inlineStr">
        <is>
          <t>1. 설정 → 끼임 탈출</t>
        </is>
      </c>
      <c r="J59" s="19" t="inlineStr">
        <is>
          <t>가까운 안전 지점으로 이동하고 조작이 돌아온다</t>
        </is>
      </c>
      <c r="K59" s="16" t="inlineStr"/>
      <c r="L59" s="17" t="inlineStr"/>
      <c r="M59" s="19" t="inlineStr"/>
      <c r="N59" s="16" t="inlineStr"/>
    </row>
    <row r="60" ht="31.4" customHeight="1">
      <c r="A60" s="18" t="n">
        <v>56</v>
      </c>
      <c r="B60" s="18" t="inlineStr">
        <is>
          <t>플레이어</t>
        </is>
      </c>
      <c r="C60" s="18" t="inlineStr">
        <is>
          <t>점프</t>
        </is>
      </c>
      <c r="D60" s="18" t="inlineStr">
        <is>
          <t>기본 점프</t>
        </is>
      </c>
      <c r="E60" s="18" t="inlineStr">
        <is>
          <t>기능</t>
        </is>
      </c>
      <c r="F60" s="15" t="inlineStr">
        <is>
          <t>High</t>
        </is>
      </c>
      <c r="G60" s="19" t="inlineStr">
        <is>
          <t>접지 상태</t>
        </is>
      </c>
      <c r="H60" s="19" t="inlineStr">
        <is>
          <t>점프가 발동하고 착지하는지 확인한다</t>
        </is>
      </c>
      <c r="I60" s="19" t="inlineStr">
        <is>
          <t>1. 스페이스 입력</t>
        </is>
      </c>
      <c r="J60" s="19" t="inlineStr">
        <is>
          <t>뛰어올랐다가 착지하고 착지 후 바로 이동된다</t>
        </is>
      </c>
      <c r="K60" s="16" t="inlineStr"/>
      <c r="L60" s="17" t="inlineStr"/>
      <c r="M60" s="19" t="inlineStr"/>
      <c r="N60" s="16" t="inlineStr"/>
    </row>
    <row r="61" ht="31.4" customHeight="1">
      <c r="A61" s="18" t="n">
        <v>57</v>
      </c>
      <c r="B61" s="18" t="inlineStr">
        <is>
          <t>플레이어</t>
        </is>
      </c>
      <c r="C61" s="18" t="inlineStr">
        <is>
          <t>점프</t>
        </is>
      </c>
      <c r="D61" s="18" t="inlineStr">
        <is>
          <t>코요테 타임</t>
        </is>
      </c>
      <c r="E61" s="18" t="inlineStr">
        <is>
          <t>경계</t>
        </is>
      </c>
      <c r="F61" s="18" t="inlineStr">
        <is>
          <t>Mid</t>
        </is>
      </c>
      <c r="G61" s="19" t="inlineStr">
        <is>
          <t>낭떠러지 가장자리</t>
        </is>
      </c>
      <c r="H61" s="19" t="inlineStr">
        <is>
          <t>가장자리를 벗어난 직후 점프가 되는지 확인한다</t>
        </is>
      </c>
      <c r="I61" s="19" t="inlineStr">
        <is>
          <t>1. 낭떠러지를 벗어나며 0.1초 안에 점프</t>
        </is>
      </c>
      <c r="J61" s="19" t="inlineStr">
        <is>
          <t>점프가 발동한다</t>
        </is>
      </c>
      <c r="K61" s="16" t="inlineStr"/>
      <c r="L61" s="17" t="inlineStr"/>
      <c r="M61" s="19" t="inlineStr"/>
      <c r="N61" s="16" t="inlineStr"/>
    </row>
    <row r="62" ht="31.4" customHeight="1">
      <c r="A62" s="18" t="n">
        <v>58</v>
      </c>
      <c r="B62" s="18" t="inlineStr">
        <is>
          <t>플레이어</t>
        </is>
      </c>
      <c r="C62" s="18" t="inlineStr">
        <is>
          <t>점프</t>
        </is>
      </c>
      <c r="D62" s="18" t="inlineStr">
        <is>
          <t>경사 점프</t>
        </is>
      </c>
      <c r="E62" s="18" t="inlineStr">
        <is>
          <t>기능</t>
        </is>
      </c>
      <c r="F62" s="15" t="inlineStr">
        <is>
          <t>High</t>
        </is>
      </c>
      <c r="G62" s="19" t="inlineStr">
        <is>
          <t>경사로 위</t>
        </is>
      </c>
      <c r="H62" s="19" t="inlineStr">
        <is>
          <t>경사에서 점프해도 이동이 이어지는지 확인한다</t>
        </is>
      </c>
      <c r="I62" s="19" t="inlineStr">
        <is>
          <t>1. 경사를 오르며 점프 연속 5회</t>
        </is>
      </c>
      <c r="J62" s="19" t="inlineStr">
        <is>
          <t>착지 직후 걷기·달리기 애니메이션으로 즉시 돌아온다</t>
        </is>
      </c>
      <c r="K62" s="16" t="inlineStr"/>
      <c r="L62" s="17" t="inlineStr"/>
      <c r="M62" s="19" t="inlineStr"/>
      <c r="N62" s="16" t="inlineStr"/>
    </row>
    <row r="63" ht="31.4" customHeight="1">
      <c r="A63" s="18" t="n">
        <v>59</v>
      </c>
      <c r="B63" s="18" t="inlineStr">
        <is>
          <t>플레이어</t>
        </is>
      </c>
      <c r="C63" s="18" t="inlineStr">
        <is>
          <t>낙하</t>
        </is>
      </c>
      <c r="D63" s="18" t="inlineStr">
        <is>
          <t>낙하 속도 상한</t>
        </is>
      </c>
      <c r="E63" s="18" t="inlineStr">
        <is>
          <t>경계</t>
        </is>
      </c>
      <c r="F63" s="15" t="inlineStr">
        <is>
          <t>High</t>
        </is>
      </c>
      <c r="G63" s="19" t="inlineStr">
        <is>
          <t>높은 지형</t>
        </is>
      </c>
      <c r="H63" s="19" t="inlineStr">
        <is>
          <t>높은 곳에서 떨어져도 과속하지 않는지 확인한다</t>
        </is>
      </c>
      <c r="I63" s="19" t="inlineStr">
        <is>
          <t>1. 가장 높은 지형에서 낙하</t>
        </is>
      </c>
      <c r="J63" s="19" t="inlineStr">
        <is>
          <t>일정 속도 이상으로 빨라지지 않는다</t>
        </is>
      </c>
      <c r="K63" s="16" t="inlineStr"/>
      <c r="L63" s="17" t="inlineStr"/>
      <c r="M63" s="19" t="inlineStr"/>
      <c r="N63" s="16" t="inlineStr"/>
    </row>
    <row r="64" ht="31.4" customHeight="1">
      <c r="A64" s="18" t="n">
        <v>60</v>
      </c>
      <c r="B64" s="18" t="inlineStr">
        <is>
          <t>플레이어</t>
        </is>
      </c>
      <c r="C64" s="18" t="inlineStr">
        <is>
          <t>낙하</t>
        </is>
      </c>
      <c r="D64" s="18" t="inlineStr">
        <is>
          <t>낙하 관통</t>
        </is>
      </c>
      <c r="E64" s="18" t="inlineStr">
        <is>
          <t>경계</t>
        </is>
      </c>
      <c r="F64" s="15" t="inlineStr">
        <is>
          <t>High</t>
        </is>
      </c>
      <c r="G64" s="19" t="inlineStr">
        <is>
          <t>높은 지형</t>
        </is>
      </c>
      <c r="H64" s="19" t="inlineStr">
        <is>
          <t>고속 낙하 시 바닥을 뚫지 않는지 확인한다</t>
        </is>
      </c>
      <c r="I64" s="19" t="inlineStr">
        <is>
          <t>1. 가장 높은 지형에서 낙하 5회</t>
        </is>
      </c>
      <c r="J64" s="19" t="inlineStr">
        <is>
          <t>매번 바닥 위에 착지하고 지형 아래로 빠지지 않는다</t>
        </is>
      </c>
      <c r="K64" s="16" t="inlineStr"/>
      <c r="L64" s="17" t="inlineStr"/>
      <c r="M64" s="19" t="inlineStr"/>
      <c r="N64" s="16" t="inlineStr"/>
    </row>
    <row r="65" ht="31.4" customHeight="1">
      <c r="A65" s="18" t="n">
        <v>61</v>
      </c>
      <c r="B65" s="18" t="inlineStr">
        <is>
          <t>플레이어</t>
        </is>
      </c>
      <c r="C65" s="18" t="inlineStr">
        <is>
          <t>대시</t>
        </is>
      </c>
      <c r="D65" s="18" t="inlineStr">
        <is>
          <t>4방향 대시</t>
        </is>
      </c>
      <c r="E65" s="18" t="inlineStr">
        <is>
          <t>기능</t>
        </is>
      </c>
      <c r="F65" s="15" t="inlineStr">
        <is>
          <t>High</t>
        </is>
      </c>
      <c r="G65" s="19" t="inlineStr">
        <is>
          <t>이동 가능</t>
        </is>
      </c>
      <c r="H65" s="19" t="inlineStr">
        <is>
          <t>네 방향 대시가 각각 발동하는지 확인한다</t>
        </is>
      </c>
      <c r="I65" s="19" t="inlineStr">
        <is>
          <t>1. 우클릭 + W/A/S/D 각각</t>
        </is>
      </c>
      <c r="J65" s="19" t="inlineStr">
        <is>
          <t>입력 방향으로 짧게 가속하고 대시 효과음이 난다</t>
        </is>
      </c>
      <c r="K65" s="16" t="inlineStr"/>
      <c r="L65" s="17" t="inlineStr"/>
      <c r="M65" s="19" t="inlineStr"/>
      <c r="N65" s="16" t="inlineStr"/>
    </row>
    <row r="66" ht="44.59999999999999" customHeight="1">
      <c r="A66" s="18" t="n">
        <v>62</v>
      </c>
      <c r="B66" s="18" t="inlineStr">
        <is>
          <t>플레이어</t>
        </is>
      </c>
      <c r="C66" s="18" t="inlineStr">
        <is>
          <t>대시</t>
        </is>
      </c>
      <c r="D66" s="18" t="inlineStr">
        <is>
          <t>쿨타임 회복</t>
        </is>
      </c>
      <c r="E66" s="18" t="inlineStr">
        <is>
          <t>상태</t>
        </is>
      </c>
      <c r="F66" s="18" t="inlineStr">
        <is>
          <t>Mid</t>
        </is>
      </c>
      <c r="G66" s="19" t="inlineStr">
        <is>
          <t>대시 직후</t>
        </is>
      </c>
      <c r="H66" s="19" t="inlineStr">
        <is>
          <t>쿨타임이 끝나면 다시 대시되는지 확인한다</t>
        </is>
      </c>
      <c r="I66" s="19" t="inlineStr">
        <is>
          <t>1. 대시
2. 쿨타임 UI 관찰
3. 표시가 사라진 뒤 재입력</t>
        </is>
      </c>
      <c r="J66" s="19" t="inlineStr">
        <is>
          <t>쿨타임 표시가 사라진 뒤 입력하면 대시가 발동한다</t>
        </is>
      </c>
      <c r="K66" s="16" t="inlineStr"/>
      <c r="L66" s="17" t="inlineStr"/>
      <c r="M66" s="19" t="inlineStr"/>
      <c r="N66" s="16" t="inlineStr"/>
    </row>
    <row r="67" ht="31.4" customHeight="1">
      <c r="A67" s="18" t="n">
        <v>63</v>
      </c>
      <c r="B67" s="18" t="inlineStr">
        <is>
          <t>플레이어</t>
        </is>
      </c>
      <c r="C67" s="18" t="inlineStr">
        <is>
          <t>전투</t>
        </is>
      </c>
      <c r="D67" s="18" t="inlineStr">
        <is>
          <t>기본 공격</t>
        </is>
      </c>
      <c r="E67" s="18" t="inlineStr">
        <is>
          <t>기능</t>
        </is>
      </c>
      <c r="F67" s="15" t="inlineStr">
        <is>
          <t>High</t>
        </is>
      </c>
      <c r="G67" s="19" t="inlineStr">
        <is>
          <t>적 앞</t>
        </is>
      </c>
      <c r="H67" s="19" t="inlineStr">
        <is>
          <t>3연속 공격이 순서대로 나가는지 확인한다</t>
        </is>
      </c>
      <c r="I67" s="19" t="inlineStr">
        <is>
          <t>1. 좌클릭 3회 연속</t>
        </is>
      </c>
      <c r="J67" s="19" t="inlineStr">
        <is>
          <t>1→2→3단 모션이 순서대로 나가고 각각 피해가 들어간다</t>
        </is>
      </c>
      <c r="K67" s="16" t="inlineStr"/>
      <c r="L67" s="17" t="inlineStr"/>
      <c r="M67" s="19" t="inlineStr"/>
      <c r="N67" s="16" t="inlineStr"/>
    </row>
    <row r="68" ht="44.59999999999999" customHeight="1">
      <c r="A68" s="18" t="n">
        <v>64</v>
      </c>
      <c r="B68" s="18" t="inlineStr">
        <is>
          <t>플레이어</t>
        </is>
      </c>
      <c r="C68" s="18" t="inlineStr">
        <is>
          <t>전투</t>
        </is>
      </c>
      <c r="D68" s="18" t="inlineStr">
        <is>
          <t>콤보 초기화</t>
        </is>
      </c>
      <c r="E68" s="18" t="inlineStr">
        <is>
          <t>상태</t>
        </is>
      </c>
      <c r="F68" s="18" t="inlineStr">
        <is>
          <t>Mid</t>
        </is>
      </c>
      <c r="G68" s="19" t="inlineStr">
        <is>
          <t>콤보 진행 중</t>
        </is>
      </c>
      <c r="H68" s="19" t="inlineStr">
        <is>
          <t>입력을 멈추면 콤보가 처음으로 돌아가는지 확인한다</t>
        </is>
      </c>
      <c r="I68" s="19" t="inlineStr">
        <is>
          <t>1. 좌클릭 2회
2. 2초 대기
3. 좌클릭</t>
        </is>
      </c>
      <c r="J68" s="19" t="inlineStr">
        <is>
          <t>3단이 아니라 1단부터 다시 시작된다</t>
        </is>
      </c>
      <c r="K68" s="16" t="inlineStr"/>
      <c r="L68" s="17" t="inlineStr"/>
      <c r="M68" s="19" t="inlineStr"/>
      <c r="N68" s="16" t="inlineStr"/>
    </row>
    <row r="69" ht="31.4" customHeight="1">
      <c r="A69" s="18" t="n">
        <v>65</v>
      </c>
      <c r="B69" s="18" t="inlineStr">
        <is>
          <t>플레이어</t>
        </is>
      </c>
      <c r="C69" s="18" t="inlineStr">
        <is>
          <t>전투</t>
        </is>
      </c>
      <c r="D69" s="18" t="inlineStr">
        <is>
          <t>행동 중 피격</t>
        </is>
      </c>
      <c r="E69" s="18" t="inlineStr">
        <is>
          <t>기능</t>
        </is>
      </c>
      <c r="F69" s="15" t="inlineStr">
        <is>
          <t>High</t>
        </is>
      </c>
      <c r="G69" s="19" t="inlineStr">
        <is>
          <t>공격 모션 중</t>
        </is>
      </c>
      <c r="H69" s="19" t="inlineStr">
        <is>
          <t>피격돼도 공격이 끊기지 않는지 확인한다</t>
        </is>
      </c>
      <c r="I69" s="19" t="inlineStr">
        <is>
          <t>1. 적에게 공격하는 도중 피격당한다</t>
        </is>
      </c>
      <c r="J69" s="19" t="inlineStr">
        <is>
          <t>공격 모션이 유지되고 피해만 적용된다</t>
        </is>
      </c>
      <c r="K69" s="16" t="inlineStr"/>
      <c r="L69" s="17" t="inlineStr"/>
      <c r="M69" s="19" t="inlineStr"/>
      <c r="N69" s="16" t="inlineStr"/>
    </row>
    <row r="70" ht="31.4" customHeight="1">
      <c r="A70" s="18" t="n">
        <v>66</v>
      </c>
      <c r="B70" s="18" t="inlineStr">
        <is>
          <t>플레이어</t>
        </is>
      </c>
      <c r="C70" s="18" t="inlineStr">
        <is>
          <t>전투</t>
        </is>
      </c>
      <c r="D70" s="18" t="inlineStr">
        <is>
          <t>스킬 후 이동</t>
        </is>
      </c>
      <c r="E70" s="18" t="inlineStr">
        <is>
          <t>기능</t>
        </is>
      </c>
      <c r="F70" s="18" t="inlineStr">
        <is>
          <t>Mid</t>
        </is>
      </c>
      <c r="G70" s="19" t="inlineStr">
        <is>
          <t>스킬 종료 직후</t>
        </is>
      </c>
      <c r="H70" s="19" t="inlineStr">
        <is>
          <t>스킬이 끝난 뒤 미끄러지지 않는지 확인한다</t>
        </is>
      </c>
      <c r="I70" s="19" t="inlineStr">
        <is>
          <t>1. Q 사용
2. 종료 직후 관찰</t>
        </is>
      </c>
      <c r="J70" s="19" t="inlineStr">
        <is>
          <t>제자리에 멈추고 미끄러지지 않는다</t>
        </is>
      </c>
      <c r="K70" s="16" t="inlineStr"/>
      <c r="L70" s="17" t="inlineStr"/>
      <c r="M70" s="19" t="inlineStr"/>
      <c r="N70" s="16" t="inlineStr"/>
    </row>
    <row r="71" ht="44.59999999999999" customHeight="1">
      <c r="A71" s="18" t="n">
        <v>67</v>
      </c>
      <c r="B71" s="18" t="inlineStr">
        <is>
          <t>플레이어</t>
        </is>
      </c>
      <c r="C71" s="18" t="inlineStr">
        <is>
          <t>전투</t>
        </is>
      </c>
      <c r="D71" s="18" t="inlineStr">
        <is>
          <t>Q 스킬</t>
        </is>
      </c>
      <c r="E71" s="18" t="inlineStr">
        <is>
          <t>데이터</t>
        </is>
      </c>
      <c r="F71" s="15" t="inlineStr">
        <is>
          <t>High</t>
        </is>
      </c>
      <c r="G71" s="19" t="inlineStr">
        <is>
          <t>Q 사용 가능</t>
        </is>
      </c>
      <c r="H71" s="19" t="inlineStr">
        <is>
          <t>Q 리퍼 슬래시가 정의대로 동작하는지 확인한다</t>
        </is>
      </c>
      <c r="I71" s="19" t="inlineStr">
        <is>
          <t>1. 적 앞에서 Q
2. 타격 횟수·범위 관찰
3. 쿨타임 확인</t>
        </is>
      </c>
      <c r="J71" s="19" t="inlineStr">
        <is>
          <t>2타가 들어가고 쿨타임 6초가 표시된다</t>
        </is>
      </c>
      <c r="K71" s="16" t="inlineStr"/>
      <c r="L71" s="17" t="inlineStr"/>
      <c r="M71" s="19" t="inlineStr"/>
      <c r="N71" s="16" t="inlineStr"/>
    </row>
    <row r="72" ht="44.59999999999999" customHeight="1">
      <c r="A72" s="18" t="n">
        <v>68</v>
      </c>
      <c r="B72" s="18" t="inlineStr">
        <is>
          <t>플레이어</t>
        </is>
      </c>
      <c r="C72" s="18" t="inlineStr">
        <is>
          <t>전투</t>
        </is>
      </c>
      <c r="D72" s="18" t="inlineStr">
        <is>
          <t>E 스킬</t>
        </is>
      </c>
      <c r="E72" s="18" t="inlineStr">
        <is>
          <t>데이터</t>
        </is>
      </c>
      <c r="F72" s="15" t="inlineStr">
        <is>
          <t>High</t>
        </is>
      </c>
      <c r="G72" s="19" t="inlineStr">
        <is>
          <t>E 사용 가능</t>
        </is>
      </c>
      <c r="H72" s="19" t="inlineStr">
        <is>
          <t>E 처형 낙하가 정의대로 동작하는지 확인한다</t>
        </is>
      </c>
      <c r="I72" s="19" t="inlineStr">
        <is>
          <t>1. 적 앞에서 E
2. 타격·범위 관찰
3. 쿨타임 확인</t>
        </is>
      </c>
      <c r="J72" s="19" t="inlineStr">
        <is>
          <t>낙하 타격이 들어가고 쿨타임 12초가 표시된다</t>
        </is>
      </c>
      <c r="K72" s="16" t="inlineStr"/>
      <c r="L72" s="17" t="inlineStr"/>
      <c r="M72" s="19" t="inlineStr"/>
      <c r="N72" s="16" t="inlineStr"/>
    </row>
    <row r="73" ht="44.59999999999999" customHeight="1">
      <c r="A73" s="18" t="n">
        <v>69</v>
      </c>
      <c r="B73" s="18" t="inlineStr">
        <is>
          <t>플레이어</t>
        </is>
      </c>
      <c r="C73" s="18" t="inlineStr">
        <is>
          <t>전투</t>
        </is>
      </c>
      <c r="D73" s="18" t="inlineStr">
        <is>
          <t>R 스킬</t>
        </is>
      </c>
      <c r="E73" s="18" t="inlineStr">
        <is>
          <t>데이터</t>
        </is>
      </c>
      <c r="F73" s="15" t="inlineStr">
        <is>
          <t>High</t>
        </is>
      </c>
      <c r="G73" s="19" t="inlineStr">
        <is>
          <t>R 사용 가능</t>
        </is>
      </c>
      <c r="H73" s="19" t="inlineStr">
        <is>
          <t>R 사이클론 브레이크가 정의대로 동작하는지 확인한다</t>
        </is>
      </c>
      <c r="I73" s="19" t="inlineStr">
        <is>
          <t>1. 적 여럿 앞에서 R
2. 회전 타격 관찰
3. 쿨타임 확인</t>
        </is>
      </c>
      <c r="J73" s="19" t="inlineStr">
        <is>
          <t>다단 회전 타격이 들어가고 쿨타임 30초가 표시된다</t>
        </is>
      </c>
      <c r="K73" s="16" t="inlineStr"/>
      <c r="L73" s="17" t="inlineStr"/>
      <c r="M73" s="19" t="inlineStr"/>
      <c r="N73" s="16" t="inlineStr"/>
    </row>
    <row r="74" ht="44.59999999999999" customHeight="1">
      <c r="A74" s="18" t="n">
        <v>70</v>
      </c>
      <c r="B74" s="18" t="inlineStr">
        <is>
          <t>플레이어</t>
        </is>
      </c>
      <c r="C74" s="18" t="inlineStr">
        <is>
          <t>전투</t>
        </is>
      </c>
      <c r="D74" s="18" t="inlineStr">
        <is>
          <t>방어력 반영</t>
        </is>
      </c>
      <c r="E74" s="18" t="inlineStr">
        <is>
          <t>데이터</t>
        </is>
      </c>
      <c r="F74" s="18" t="inlineStr">
        <is>
          <t>Mid</t>
        </is>
      </c>
      <c r="G74" s="19" t="inlineStr">
        <is>
          <t>방어력 앰플 보유</t>
        </is>
      </c>
      <c r="H74" s="19" t="inlineStr">
        <is>
          <t>방어력이 받는 피해에 반영되는지 확인한다</t>
        </is>
      </c>
      <c r="I74" s="19" t="inlineStr">
        <is>
          <t>1. 같은 적에게 피격, 피해량 기록
2. 방어력 앰플 사용
3. 재피격</t>
        </is>
      </c>
      <c r="J74" s="19" t="inlineStr">
        <is>
          <t>방어력 상승 후 받는 피해가 줄어든다</t>
        </is>
      </c>
      <c r="K74" s="16" t="inlineStr"/>
      <c r="L74" s="17" t="inlineStr"/>
      <c r="M74" s="19" t="inlineStr"/>
      <c r="N74" s="16" t="inlineStr"/>
    </row>
    <row r="75" ht="44.59999999999999" customHeight="1">
      <c r="A75" s="18" t="n">
        <v>71</v>
      </c>
      <c r="B75" s="18" t="inlineStr">
        <is>
          <t>플레이어</t>
        </is>
      </c>
      <c r="C75" s="18" t="inlineStr">
        <is>
          <t>전투</t>
        </is>
      </c>
      <c r="D75" s="18" t="inlineStr">
        <is>
          <t>스킬 쿨타임 회복</t>
        </is>
      </c>
      <c r="E75" s="18" t="inlineStr">
        <is>
          <t>상태</t>
        </is>
      </c>
      <c r="F75" s="18" t="inlineStr">
        <is>
          <t>Mid</t>
        </is>
      </c>
      <c r="G75" s="19" t="inlineStr">
        <is>
          <t>스킬 사용 직후</t>
        </is>
      </c>
      <c r="H75" s="19" t="inlineStr">
        <is>
          <t>쿨타임이 끝나면 스킬을 다시 쓸 수 있는지 확인한다</t>
        </is>
      </c>
      <c r="I75" s="19" t="inlineStr">
        <is>
          <t>1. Q 사용
2. 쿨타임 UI 관찰
3. 종료 후 재사용</t>
        </is>
      </c>
      <c r="J75" s="19" t="inlineStr">
        <is>
          <t>쿨타임 표시가 돌고 끝나면 재사용된다</t>
        </is>
      </c>
      <c r="K75" s="16" t="inlineStr"/>
      <c r="L75" s="17" t="inlineStr"/>
      <c r="M75" s="19" t="inlineStr"/>
      <c r="N75" s="16" t="inlineStr"/>
    </row>
    <row r="76" ht="31.4" customHeight="1">
      <c r="A76" s="18" t="n">
        <v>72</v>
      </c>
      <c r="B76" s="18" t="inlineStr">
        <is>
          <t>플레이어</t>
        </is>
      </c>
      <c r="C76" s="18" t="inlineStr">
        <is>
          <t>스탯</t>
        </is>
      </c>
      <c r="D76" s="18" t="inlineStr">
        <is>
          <t>HP 감소</t>
        </is>
      </c>
      <c r="E76" s="18" t="inlineStr">
        <is>
          <t>데이터</t>
        </is>
      </c>
      <c r="F76" s="15" t="inlineStr">
        <is>
          <t>High</t>
        </is>
      </c>
      <c r="G76" s="19" t="inlineStr">
        <is>
          <t>결계 밖</t>
        </is>
      </c>
      <c r="H76" s="19" t="inlineStr">
        <is>
          <t>결계 밖에서 시간(HP)이 초당 1씩 줄어드는지 확인한다</t>
        </is>
      </c>
      <c r="I76" s="19" t="inlineStr">
        <is>
          <t>1. 결계 밖에서 10초 대기
2. HP 변화 확인</t>
        </is>
      </c>
      <c r="J76" s="19" t="inlineStr">
        <is>
          <t>10초에 10 줄어든다</t>
        </is>
      </c>
      <c r="K76" s="16" t="inlineStr"/>
      <c r="L76" s="17" t="inlineStr"/>
      <c r="M76" s="19" t="inlineStr"/>
      <c r="N76" s="16" t="inlineStr"/>
    </row>
    <row r="77" ht="31.4" customHeight="1">
      <c r="A77" s="18" t="n">
        <v>73</v>
      </c>
      <c r="B77" s="18" t="inlineStr">
        <is>
          <t>플레이어</t>
        </is>
      </c>
      <c r="C77" s="18" t="inlineStr">
        <is>
          <t>스탯</t>
        </is>
      </c>
      <c r="D77" s="18" t="inlineStr">
        <is>
          <t>가속 구역</t>
        </is>
      </c>
      <c r="E77" s="18" t="inlineStr">
        <is>
          <t>데이터</t>
        </is>
      </c>
      <c r="F77" s="18" t="inlineStr">
        <is>
          <t>Mid</t>
        </is>
      </c>
      <c r="G77" s="19" t="inlineStr">
        <is>
          <t>시간 위험 구역</t>
        </is>
      </c>
      <c r="H77" s="19" t="inlineStr">
        <is>
          <t>위험 구역에서 감소가 빨라지는지 확인한다</t>
        </is>
      </c>
      <c r="I77" s="19" t="inlineStr">
        <is>
          <t>1. 위험 구역 진입
2. 10초 대기</t>
        </is>
      </c>
      <c r="J77" s="19" t="inlineStr">
        <is>
          <t>결계 밖보다 빠르게 줄어든다</t>
        </is>
      </c>
      <c r="K77" s="16" t="inlineStr"/>
      <c r="L77" s="17" t="inlineStr"/>
      <c r="M77" s="19" t="inlineStr"/>
      <c r="N77" s="16" t="inlineStr"/>
    </row>
    <row r="78" ht="31.4" customHeight="1">
      <c r="A78" s="18" t="n">
        <v>74</v>
      </c>
      <c r="B78" s="18" t="inlineStr">
        <is>
          <t>플레이어</t>
        </is>
      </c>
      <c r="C78" s="18" t="inlineStr">
        <is>
          <t>스탯</t>
        </is>
      </c>
      <c r="D78" s="18" t="inlineStr">
        <is>
          <t>결계 안 회복</t>
        </is>
      </c>
      <c r="E78" s="18" t="inlineStr">
        <is>
          <t>데이터</t>
        </is>
      </c>
      <c r="F78" s="15" t="inlineStr">
        <is>
          <t>High</t>
        </is>
      </c>
      <c r="G78" s="19" t="inlineStr">
        <is>
          <t>결계 안, HP 감소 상태</t>
        </is>
      </c>
      <c r="H78" s="19" t="inlineStr">
        <is>
          <t>결계 안에서 HP 가 회복되는지 확인한다</t>
        </is>
      </c>
      <c r="I78" s="19" t="inlineStr">
        <is>
          <t>1. 결계 안 진입
2. 10초 대기</t>
        </is>
      </c>
      <c r="J78" s="19" t="inlineStr">
        <is>
          <t>HP 가 증가하고 최대치에서 멈춘다</t>
        </is>
      </c>
      <c r="K78" s="16" t="inlineStr"/>
      <c r="L78" s="17" t="inlineStr"/>
      <c r="M78" s="19" t="inlineStr"/>
      <c r="N78" s="16" t="inlineStr"/>
    </row>
    <row r="79" ht="31.4" customHeight="1">
      <c r="A79" s="18" t="n">
        <v>75</v>
      </c>
      <c r="B79" s="18" t="inlineStr">
        <is>
          <t>플레이어</t>
        </is>
      </c>
      <c r="C79" s="18" t="inlineStr">
        <is>
          <t>스탯</t>
        </is>
      </c>
      <c r="D79" s="18" t="inlineStr">
        <is>
          <t>스탯창 표시</t>
        </is>
      </c>
      <c r="E79" s="18" t="inlineStr">
        <is>
          <t>연출</t>
        </is>
      </c>
      <c r="F79" s="18" t="inlineStr">
        <is>
          <t>Mid</t>
        </is>
      </c>
      <c r="G79" s="19" t="inlineStr">
        <is>
          <t>인게임</t>
        </is>
      </c>
      <c r="H79" s="19" t="inlineStr">
        <is>
          <t>C 키로 스탯창이 열리고 값이 맞는지 확인한다</t>
        </is>
      </c>
      <c r="I79" s="19" t="inlineStr">
        <is>
          <t>1. C 입력
2. 공격력·방어력·최대 시간 확인</t>
        </is>
      </c>
      <c r="J79" s="19" t="inlineStr">
        <is>
          <t>값이 소수점까지 표시되고 앰플 사용 후 갱신된다</t>
        </is>
      </c>
      <c r="K79" s="16" t="inlineStr"/>
      <c r="L79" s="17" t="inlineStr"/>
      <c r="M79" s="19" t="inlineStr"/>
      <c r="N79" s="16" t="inlineStr"/>
    </row>
    <row r="80" ht="31.4" customHeight="1">
      <c r="A80" s="18" t="n">
        <v>76</v>
      </c>
      <c r="B80" s="18" t="inlineStr">
        <is>
          <t>플레이어</t>
        </is>
      </c>
      <c r="C80" s="18" t="inlineStr">
        <is>
          <t>사망</t>
        </is>
      </c>
      <c r="D80" s="18" t="inlineStr">
        <is>
          <t>사망 처리</t>
        </is>
      </c>
      <c r="E80" s="18" t="inlineStr">
        <is>
          <t>기능</t>
        </is>
      </c>
      <c r="F80" s="15" t="inlineStr">
        <is>
          <t>High</t>
        </is>
      </c>
      <c r="G80" s="19" t="inlineStr">
        <is>
          <t>HP 1</t>
        </is>
      </c>
      <c r="H80" s="19" t="inlineStr">
        <is>
          <t>HP 가 0 이 되면 사망 처리되는지 확인한다</t>
        </is>
      </c>
      <c r="I80" s="19" t="inlineStr">
        <is>
          <t>1. 결계 밖에서 HP 0 까지 대기</t>
        </is>
      </c>
      <c r="J80" s="19" t="inlineStr">
        <is>
          <t>사망 모션 후 리스폰 안내가 뜬다</t>
        </is>
      </c>
      <c r="K80" s="16" t="inlineStr"/>
      <c r="L80" s="17" t="inlineStr"/>
      <c r="M80" s="19" t="inlineStr"/>
      <c r="N80" s="16" t="inlineStr"/>
    </row>
    <row r="81" ht="31.4" customHeight="1">
      <c r="A81" s="18" t="n">
        <v>77</v>
      </c>
      <c r="B81" s="18" t="inlineStr">
        <is>
          <t>플레이어</t>
        </is>
      </c>
      <c r="C81" s="18" t="inlineStr">
        <is>
          <t>사망</t>
        </is>
      </c>
      <c r="D81" s="18" t="inlineStr">
        <is>
          <t>리스폰</t>
        </is>
      </c>
      <c r="E81" s="18" t="inlineStr">
        <is>
          <t>상태</t>
        </is>
      </c>
      <c r="F81" s="15" t="inlineStr">
        <is>
          <t>High</t>
        </is>
      </c>
      <c r="G81" s="19" t="inlineStr">
        <is>
          <t>사망 직후</t>
        </is>
      </c>
      <c r="H81" s="19" t="inlineStr">
        <is>
          <t>리스폰 후 기지에서 재개되는지 확인한다</t>
        </is>
      </c>
      <c r="I81" s="19" t="inlineStr">
        <is>
          <t>1. 리스폰 선택</t>
        </is>
      </c>
      <c r="J81" s="19" t="inlineStr">
        <is>
          <t>기지 위치에서 HP 최대로 재개된다</t>
        </is>
      </c>
      <c r="K81" s="16" t="inlineStr"/>
      <c r="L81" s="17" t="inlineStr"/>
      <c r="M81" s="19" t="inlineStr"/>
      <c r="N81" s="16" t="inlineStr"/>
    </row>
    <row r="82" ht="31.4" customHeight="1">
      <c r="A82" s="18" t="n">
        <v>78</v>
      </c>
      <c r="B82" s="18" t="inlineStr">
        <is>
          <t>플레이어</t>
        </is>
      </c>
      <c r="C82" s="18" t="inlineStr">
        <is>
          <t>사망</t>
        </is>
      </c>
      <c r="D82" s="18" t="inlineStr">
        <is>
          <t>전리품 드랍</t>
        </is>
      </c>
      <c r="E82" s="18" t="inlineStr">
        <is>
          <t>기능</t>
        </is>
      </c>
      <c r="F82" s="15" t="inlineStr">
        <is>
          <t>High</t>
        </is>
      </c>
      <c r="G82" s="19" t="inlineStr">
        <is>
          <t>인벤토리에 아이템 보유</t>
        </is>
      </c>
      <c r="H82" s="19" t="inlineStr">
        <is>
          <t>사망 시 전리품이 그 자리에 남는지 확인한다</t>
        </is>
      </c>
      <c r="I82" s="19" t="inlineStr">
        <is>
          <t>1. 사망
2. 리스폰 후 사망 위치로 이동</t>
        </is>
      </c>
      <c r="J82" s="19" t="inlineStr">
        <is>
          <t>전리품 상자가 있고 열면 아이템이 돌아온다</t>
        </is>
      </c>
      <c r="K82" s="16" t="inlineStr"/>
      <c r="L82" s="17" t="inlineStr"/>
      <c r="M82" s="19" t="inlineStr"/>
      <c r="N82" s="16" t="inlineStr"/>
    </row>
    <row r="83" ht="31.4" customHeight="1">
      <c r="A83" s="18" t="n">
        <v>79</v>
      </c>
      <c r="B83" s="18" t="inlineStr">
        <is>
          <t>플레이어</t>
        </is>
      </c>
      <c r="C83" s="18" t="inlineStr">
        <is>
          <t>사망</t>
        </is>
      </c>
      <c r="D83" s="18" t="inlineStr">
        <is>
          <t>낙사/수몰</t>
        </is>
      </c>
      <c r="E83" s="18" t="inlineStr">
        <is>
          <t>기능</t>
        </is>
      </c>
      <c r="F83" s="15" t="inlineStr">
        <is>
          <t>High</t>
        </is>
      </c>
      <c r="G83" s="19" t="inlineStr">
        <is>
          <t>낭떠러지·물 앞</t>
        </is>
      </c>
      <c r="H83" s="19" t="inlineStr">
        <is>
          <t>맵 밖으로 떨어지거나 물에 빠지면 사망 처리되는지 확인한다</t>
        </is>
      </c>
      <c r="I83" s="19" t="inlineStr">
        <is>
          <t>1. 낭떠러지로 낙하
2. 물로 진입</t>
        </is>
      </c>
      <c r="J83" s="19" t="inlineStr">
        <is>
          <t>둘 다 사망 처리되고 리스폰된다</t>
        </is>
      </c>
      <c r="K83" s="16" t="inlineStr"/>
      <c r="L83" s="17" t="inlineStr"/>
      <c r="M83" s="19" t="inlineStr"/>
      <c r="N83" s="16" t="inlineStr"/>
    </row>
    <row r="84" ht="31.4" customHeight="1">
      <c r="A84" s="18" t="n">
        <v>80</v>
      </c>
      <c r="B84" s="18" t="inlineStr">
        <is>
          <t>플레이어</t>
        </is>
      </c>
      <c r="C84" s="18" t="inlineStr">
        <is>
          <t>사망</t>
        </is>
      </c>
      <c r="D84" s="18" t="inlineStr">
        <is>
          <t>공중 사망</t>
        </is>
      </c>
      <c r="E84" s="18" t="inlineStr">
        <is>
          <t>연출</t>
        </is>
      </c>
      <c r="F84" s="18" t="inlineStr">
        <is>
          <t>Mid</t>
        </is>
      </c>
      <c r="G84" s="19" t="inlineStr">
        <is>
          <t>공중</t>
        </is>
      </c>
      <c r="H84" s="19" t="inlineStr">
        <is>
          <t>공중에서 죽어도 사망 모션이 끝까지 재생되는지 확인한다</t>
        </is>
      </c>
      <c r="I84" s="19" t="inlineStr">
        <is>
          <t>1. 점프 중 HP 0</t>
        </is>
      </c>
      <c r="J84" s="19" t="inlineStr">
        <is>
          <t>공중에서 죽어도 지면까지 내려온 뒤 사망 모션이 끝까지 재생된다</t>
        </is>
      </c>
      <c r="K84" s="16" t="inlineStr"/>
      <c r="L84" s="17" t="inlineStr"/>
      <c r="M84" s="19" t="inlineStr"/>
      <c r="N84" s="16" t="inlineStr"/>
    </row>
    <row r="85" ht="31.4" customHeight="1">
      <c r="A85" s="18" t="n">
        <v>81</v>
      </c>
      <c r="B85" s="18" t="inlineStr">
        <is>
          <t>플레이어</t>
        </is>
      </c>
      <c r="C85" s="18" t="inlineStr">
        <is>
          <t>상호작용</t>
        </is>
      </c>
      <c r="D85" s="18" t="inlineStr">
        <is>
          <t>F키 힌트</t>
        </is>
      </c>
      <c r="E85" s="18" t="inlineStr">
        <is>
          <t>연출</t>
        </is>
      </c>
      <c r="F85" s="18" t="inlineStr">
        <is>
          <t>Mid</t>
        </is>
      </c>
      <c r="G85" s="19" t="inlineStr">
        <is>
          <t>상호작용 대상 근처</t>
        </is>
      </c>
      <c r="H85" s="19" t="inlineStr">
        <is>
          <t>대상에 가까이 가면 힌트가 뜨는지 확인한다</t>
        </is>
      </c>
      <c r="I85" s="19" t="inlineStr">
        <is>
          <t>1. 상자·설비·NPC 에 접근</t>
        </is>
      </c>
      <c r="J85" s="19" t="inlineStr">
        <is>
          <t>F 아이콘과 대상 이름이 표시된다</t>
        </is>
      </c>
      <c r="K85" s="16" t="inlineStr"/>
      <c r="L85" s="17" t="inlineStr"/>
      <c r="M85" s="19" t="inlineStr"/>
      <c r="N85" s="16" t="inlineStr"/>
    </row>
    <row r="86" ht="31.4" customHeight="1">
      <c r="A86" s="18" t="n">
        <v>82</v>
      </c>
      <c r="B86" s="18" t="inlineStr">
        <is>
          <t>플레이어</t>
        </is>
      </c>
      <c r="C86" s="18" t="inlineStr">
        <is>
          <t>상호작용</t>
        </is>
      </c>
      <c r="D86" s="18" t="inlineStr">
        <is>
          <t>대상 우선순위</t>
        </is>
      </c>
      <c r="E86" s="18" t="inlineStr">
        <is>
          <t>기능</t>
        </is>
      </c>
      <c r="F86" s="18" t="inlineStr">
        <is>
          <t>Mid</t>
        </is>
      </c>
      <c r="G86" s="19" t="inlineStr">
        <is>
          <t>대상 2개 이상 근접</t>
        </is>
      </c>
      <c r="H86" s="19" t="inlineStr">
        <is>
          <t>가장 가까운 대상이 선택되는지 확인한다</t>
        </is>
      </c>
      <c r="I86" s="19" t="inlineStr">
        <is>
          <t>1. 상자 두 개 사이에서 F</t>
        </is>
      </c>
      <c r="J86" s="19" t="inlineStr">
        <is>
          <t>더 가까운 상자가 열린다</t>
        </is>
      </c>
      <c r="K86" s="16" t="inlineStr"/>
      <c r="L86" s="17" t="inlineStr"/>
      <c r="M86" s="19" t="inlineStr"/>
      <c r="N86" s="16" t="inlineStr"/>
    </row>
    <row r="87" ht="31.4" customHeight="1">
      <c r="A87" s="18" t="n">
        <v>83</v>
      </c>
      <c r="B87" s="18" t="inlineStr">
        <is>
          <t>플레이어</t>
        </is>
      </c>
      <c r="C87" s="18" t="inlineStr">
        <is>
          <t>상호작용</t>
        </is>
      </c>
      <c r="D87" s="18" t="inlineStr">
        <is>
          <t>외곽선</t>
        </is>
      </c>
      <c r="E87" s="18" t="inlineStr">
        <is>
          <t>연출</t>
        </is>
      </c>
      <c r="F87" s="18" t="inlineStr">
        <is>
          <t>Low</t>
        </is>
      </c>
      <c r="G87" s="19" t="inlineStr">
        <is>
          <t>상호작용 대상 근처</t>
        </is>
      </c>
      <c r="H87" s="19" t="inlineStr">
        <is>
          <t>대상에 외곽선이 생기는지 확인한다</t>
        </is>
      </c>
      <c r="I87" s="19" t="inlineStr">
        <is>
          <t>1. 상자에 접근</t>
        </is>
      </c>
      <c r="J87" s="19" t="inlineStr">
        <is>
          <t>상자에 외곽선이 표시되고 멀어지면 사라진다</t>
        </is>
      </c>
      <c r="K87" s="16" t="inlineStr"/>
      <c r="L87" s="17" t="inlineStr"/>
      <c r="M87" s="19" t="inlineStr"/>
      <c r="N87" s="16" t="inlineStr"/>
    </row>
    <row r="88" ht="31.4" customHeight="1">
      <c r="A88" s="18" t="n">
        <v>84</v>
      </c>
      <c r="B88" s="18" t="inlineStr">
        <is>
          <t>플레이어</t>
        </is>
      </c>
      <c r="C88" s="18" t="inlineStr">
        <is>
          <t>애니메이션</t>
        </is>
      </c>
      <c r="D88" s="18" t="inlineStr">
        <is>
          <t>점프 자세</t>
        </is>
      </c>
      <c r="E88" s="18" t="inlineStr">
        <is>
          <t>연출</t>
        </is>
      </c>
      <c r="F88" s="18" t="inlineStr">
        <is>
          <t>Mid</t>
        </is>
      </c>
      <c r="G88" s="19" t="inlineStr">
        <is>
          <t>점프 가능</t>
        </is>
      </c>
      <c r="H88" s="19" t="inlineStr">
        <is>
          <t>공중에서 점프 자세가 유지되는지 확인한다</t>
        </is>
      </c>
      <c r="I88" s="19" t="inlineStr">
        <is>
          <t>1. 높은 곳에서 점프
2. 체공 중 관찰</t>
        </is>
      </c>
      <c r="J88" s="19" t="inlineStr">
        <is>
          <t>다리를 구부린 자세로 체공하고 착지 직전 착지 모션이 나온다</t>
        </is>
      </c>
      <c r="K88" s="16" t="inlineStr"/>
      <c r="L88" s="17" t="inlineStr"/>
      <c r="M88" s="19" t="inlineStr"/>
      <c r="N88" s="16" t="inlineStr"/>
    </row>
    <row r="89" ht="31.4" customHeight="1">
      <c r="A89" s="18" t="n">
        <v>85</v>
      </c>
      <c r="B89" s="18" t="inlineStr">
        <is>
          <t>플레이어</t>
        </is>
      </c>
      <c r="C89" s="18" t="inlineStr">
        <is>
          <t>애니메이션</t>
        </is>
      </c>
      <c r="D89" s="18" t="inlineStr">
        <is>
          <t>경사 접지</t>
        </is>
      </c>
      <c r="E89" s="18" t="inlineStr">
        <is>
          <t>연출</t>
        </is>
      </c>
      <c r="F89" s="18" t="inlineStr">
        <is>
          <t>Mid</t>
        </is>
      </c>
      <c r="G89" s="19" t="inlineStr">
        <is>
          <t>경사면</t>
        </is>
      </c>
      <c r="H89" s="19" t="inlineStr">
        <is>
          <t>경사에 서면 양발이 지면에 붙는지 확인한다</t>
        </is>
      </c>
      <c r="I89" s="19" t="inlineStr">
        <is>
          <t>1. 경사에 정지
2. 반대로 돌아 정지</t>
        </is>
      </c>
      <c r="J89" s="19" t="inlineStr">
        <is>
          <t>양쪽 발이 모두 지면에 닿는다</t>
        </is>
      </c>
      <c r="K89" s="16" t="inlineStr"/>
      <c r="L89" s="17" t="inlineStr"/>
      <c r="M89" s="19" t="inlineStr"/>
      <c r="N89" s="16" t="inlineStr"/>
    </row>
    <row r="90" ht="31.4" customHeight="1">
      <c r="A90" s="18" t="n">
        <v>86</v>
      </c>
      <c r="B90" s="18" t="inlineStr">
        <is>
          <t>플레이어</t>
        </is>
      </c>
      <c r="C90" s="18" t="inlineStr">
        <is>
          <t>애니메이션</t>
        </is>
      </c>
      <c r="D90" s="18" t="inlineStr">
        <is>
          <t>시야 투과</t>
        </is>
      </c>
      <c r="E90" s="18" t="inlineStr">
        <is>
          <t>연출</t>
        </is>
      </c>
      <c r="F90" s="18" t="inlineStr">
        <is>
          <t>Mid</t>
        </is>
      </c>
      <c r="G90" s="19" t="inlineStr">
        <is>
          <t>카메라와 캐릭터 사이 장애물</t>
        </is>
      </c>
      <c r="H90" s="19" t="inlineStr">
        <is>
          <t>장애물이 시야를 가리면 투명해지는지 확인한다</t>
        </is>
      </c>
      <c r="I90" s="19" t="inlineStr">
        <is>
          <t>1. 벽 뒤로 이동</t>
        </is>
      </c>
      <c r="J90" s="19" t="inlineStr">
        <is>
          <t>가리는 오브젝트가 반투명해지고 벗어나면 돌아온다</t>
        </is>
      </c>
      <c r="K90" s="16" t="inlineStr"/>
      <c r="L90" s="17" t="inlineStr"/>
      <c r="M90" s="19" t="inlineStr"/>
      <c r="N90" s="16" t="inlineStr"/>
    </row>
    <row r="91" ht="31.4" customHeight="1">
      <c r="A91" s="18" t="n">
        <v>87</v>
      </c>
      <c r="B91" s="18" t="inlineStr">
        <is>
          <t>플레이어</t>
        </is>
      </c>
      <c r="C91" s="18" t="inlineStr">
        <is>
          <t>화면 효과</t>
        </is>
      </c>
      <c r="D91" s="18" t="inlineStr">
        <is>
          <t>피격 화면</t>
        </is>
      </c>
      <c r="E91" s="18" t="inlineStr">
        <is>
          <t>연출</t>
        </is>
      </c>
      <c r="F91" s="18" t="inlineStr">
        <is>
          <t>Mid</t>
        </is>
      </c>
      <c r="G91" s="19" t="inlineStr">
        <is>
          <t>적 앞</t>
        </is>
      </c>
      <c r="H91" s="19" t="inlineStr">
        <is>
          <t>피격 시 화면 효과가 나오는지 확인한다</t>
        </is>
      </c>
      <c r="I91" s="19" t="inlineStr">
        <is>
          <t>1. 피격당한다</t>
        </is>
      </c>
      <c r="J91" s="19" t="inlineStr">
        <is>
          <t>화면 가장자리가 붉게 번쩍이고 카메라가 흔들린다</t>
        </is>
      </c>
      <c r="K91" s="16" t="inlineStr"/>
      <c r="L91" s="17" t="inlineStr"/>
      <c r="M91" s="19" t="inlineStr"/>
      <c r="N91" s="16" t="inlineStr"/>
    </row>
    <row r="92" ht="31.4" customHeight="1">
      <c r="A92" s="18" t="n">
        <v>88</v>
      </c>
      <c r="B92" s="18" t="inlineStr">
        <is>
          <t>플레이어</t>
        </is>
      </c>
      <c r="C92" s="18" t="inlineStr">
        <is>
          <t>화면 효과</t>
        </is>
      </c>
      <c r="D92" s="18" t="inlineStr">
        <is>
          <t>저체력 효과</t>
        </is>
      </c>
      <c r="E92" s="18" t="inlineStr">
        <is>
          <t>연출</t>
        </is>
      </c>
      <c r="F92" s="18" t="inlineStr">
        <is>
          <t>Mid</t>
        </is>
      </c>
      <c r="G92" s="19" t="inlineStr">
        <is>
          <t>HP 20% 이하</t>
        </is>
      </c>
      <c r="H92" s="19" t="inlineStr">
        <is>
          <t>저체력에서 경고 효과가 나오는지 확인한다</t>
        </is>
      </c>
      <c r="I92" s="19" t="inlineStr">
        <is>
          <t>1. HP 를 20% 이하로</t>
        </is>
      </c>
      <c r="J92" s="19" t="inlineStr">
        <is>
          <t>화면 테두리 효과와 심장 박동음이 나온다</t>
        </is>
      </c>
      <c r="K92" s="16" t="inlineStr"/>
      <c r="L92" s="17" t="inlineStr"/>
      <c r="M92" s="19" t="inlineStr"/>
      <c r="N92" s="16" t="inlineStr"/>
    </row>
    <row r="93" ht="31.4" customHeight="1">
      <c r="A93" s="18" t="n">
        <v>89</v>
      </c>
      <c r="B93" s="18" t="inlineStr">
        <is>
          <t>플레이어</t>
        </is>
      </c>
      <c r="C93" s="18" t="inlineStr">
        <is>
          <t>화면 효과</t>
        </is>
      </c>
      <c r="D93" s="18" t="inlineStr">
        <is>
          <t>시간 위험 효과</t>
        </is>
      </c>
      <c r="E93" s="18" t="inlineStr">
        <is>
          <t>연출</t>
        </is>
      </c>
      <c r="F93" s="18" t="inlineStr">
        <is>
          <t>Mid</t>
        </is>
      </c>
      <c r="G93" s="19" t="inlineStr">
        <is>
          <t>시간 위험 구역</t>
        </is>
      </c>
      <c r="H93" s="19" t="inlineStr">
        <is>
          <t>위험 구역에서 화면 효과가 나오는지 확인한다</t>
        </is>
      </c>
      <c r="I93" s="19" t="inlineStr">
        <is>
          <t>1. 위험 구역 진입</t>
        </is>
      </c>
      <c r="J93" s="19" t="inlineStr">
        <is>
          <t>구역 전용 화면 효과가 켜지고 나가면 꺼진다</t>
        </is>
      </c>
      <c r="K93" s="16" t="inlineStr"/>
      <c r="L93" s="17" t="inlineStr"/>
      <c r="M93" s="19" t="inlineStr"/>
      <c r="N93" s="16" t="inlineStr"/>
    </row>
    <row r="94" ht="31.4" customHeight="1">
      <c r="A94" s="18" t="n">
        <v>90</v>
      </c>
      <c r="B94" s="18" t="inlineStr">
        <is>
          <t>플레이어</t>
        </is>
      </c>
      <c r="C94" s="18" t="inlineStr">
        <is>
          <t>스태미나</t>
        </is>
      </c>
      <c r="D94" s="18" t="inlineStr">
        <is>
          <t>달리기 소모</t>
        </is>
      </c>
      <c r="E94" s="18" t="inlineStr">
        <is>
          <t>데이터</t>
        </is>
      </c>
      <c r="F94" s="15" t="inlineStr">
        <is>
          <t>High</t>
        </is>
      </c>
      <c r="G94" s="19" t="inlineStr">
        <is>
          <t>스태미나 최대</t>
        </is>
      </c>
      <c r="H94" s="19" t="inlineStr">
        <is>
          <t>달릴 때 초당 10 씩 줄어드는지 확인한다</t>
        </is>
      </c>
      <c r="I94" s="19" t="inlineStr">
        <is>
          <t>1. 5초간 달리기
2. 스태미나 확인</t>
        </is>
      </c>
      <c r="J94" s="19" t="inlineStr">
        <is>
          <t>약 50 이 줄어든다</t>
        </is>
      </c>
      <c r="K94" s="16" t="inlineStr"/>
      <c r="L94" s="17" t="inlineStr"/>
      <c r="M94" s="19" t="inlineStr"/>
      <c r="N94" s="16" t="inlineStr"/>
    </row>
    <row r="95" ht="31.4" customHeight="1">
      <c r="A95" s="18" t="n">
        <v>91</v>
      </c>
      <c r="B95" s="18" t="inlineStr">
        <is>
          <t>플레이어</t>
        </is>
      </c>
      <c r="C95" s="18" t="inlineStr">
        <is>
          <t>스태미나</t>
        </is>
      </c>
      <c r="D95" s="18" t="inlineStr">
        <is>
          <t>자동 회복</t>
        </is>
      </c>
      <c r="E95" s="18" t="inlineStr">
        <is>
          <t>데이터</t>
        </is>
      </c>
      <c r="F95" s="15" t="inlineStr">
        <is>
          <t>High</t>
        </is>
      </c>
      <c r="G95" s="19" t="inlineStr">
        <is>
          <t>스태미나 50%</t>
        </is>
      </c>
      <c r="H95" s="19" t="inlineStr">
        <is>
          <t>멈추면 회복되는지 확인한다</t>
        </is>
      </c>
      <c r="I95" s="19" t="inlineStr">
        <is>
          <t>1. 정지
2. 3초 대기</t>
        </is>
      </c>
      <c r="J95" s="19" t="inlineStr">
        <is>
          <t>최대치까지 회복된다</t>
        </is>
      </c>
      <c r="K95" s="16" t="inlineStr"/>
      <c r="L95" s="17" t="inlineStr"/>
      <c r="M95" s="19" t="inlineStr"/>
      <c r="N95" s="16" t="inlineStr"/>
    </row>
    <row r="96" ht="44.59999999999999" customHeight="1">
      <c r="A96" s="18" t="n">
        <v>92</v>
      </c>
      <c r="B96" s="18" t="inlineStr">
        <is>
          <t>플레이어</t>
        </is>
      </c>
      <c r="C96" s="18" t="inlineStr">
        <is>
          <t>스태미나</t>
        </is>
      </c>
      <c r="D96" s="18" t="inlineStr">
        <is>
          <t>대시 후 회복 지연</t>
        </is>
      </c>
      <c r="E96" s="18" t="inlineStr">
        <is>
          <t>상태</t>
        </is>
      </c>
      <c r="F96" s="18" t="inlineStr">
        <is>
          <t>Mid</t>
        </is>
      </c>
      <c r="G96" s="19" t="inlineStr">
        <is>
          <t>대시 직후</t>
        </is>
      </c>
      <c r="H96" s="19" t="inlineStr">
        <is>
          <t>대시 후 1초간 회복이 멈추는지 확인한다</t>
        </is>
      </c>
      <c r="I96" s="19" t="inlineStr">
        <is>
          <t>1. 대시
2. 즉시 정지
3. 바 관찰</t>
        </is>
      </c>
      <c r="J96" s="19" t="inlineStr">
        <is>
          <t>1초 뒤부터 회복이 시작된다</t>
        </is>
      </c>
      <c r="K96" s="16" t="inlineStr"/>
      <c r="L96" s="17" t="inlineStr"/>
      <c r="M96" s="19" t="inlineStr"/>
      <c r="N96" s="16" t="inlineStr"/>
    </row>
    <row r="97" ht="31.4" customHeight="1">
      <c r="A97" s="18" t="n">
        <v>93</v>
      </c>
      <c r="B97" s="18" t="inlineStr">
        <is>
          <t>플레이어</t>
        </is>
      </c>
      <c r="C97" s="18" t="inlineStr">
        <is>
          <t>스태미나</t>
        </is>
      </c>
      <c r="D97" s="18" t="inlineStr">
        <is>
          <t>탈진 해제</t>
        </is>
      </c>
      <c r="E97" s="18" t="inlineStr">
        <is>
          <t>경계</t>
        </is>
      </c>
      <c r="F97" s="15" t="inlineStr">
        <is>
          <t>High</t>
        </is>
      </c>
      <c r="G97" s="19" t="inlineStr">
        <is>
          <t>탈진 상태</t>
        </is>
      </c>
      <c r="H97" s="19" t="inlineStr">
        <is>
          <t>10% 이상 회복되면 달리기가 되는지 확인한다</t>
        </is>
      </c>
      <c r="I97" s="19" t="inlineStr">
        <is>
          <t>1. 스태미나 0 까지 소모
2. 9% / 10% / 11% 시점에 달리기 시도</t>
        </is>
      </c>
      <c r="J97" s="19" t="inlineStr">
        <is>
          <t>10% 이상에서만 달리기가 발동한다</t>
        </is>
      </c>
      <c r="K97" s="16" t="inlineStr"/>
      <c r="L97" s="17" t="inlineStr"/>
      <c r="M97" s="19" t="inlineStr"/>
      <c r="N97" s="16" t="inlineStr"/>
    </row>
    <row r="98" ht="44.59999999999999" customHeight="1">
      <c r="A98" s="18" t="n">
        <v>94</v>
      </c>
      <c r="B98" s="18" t="inlineStr">
        <is>
          <t>플레이어</t>
        </is>
      </c>
      <c r="C98" s="18" t="inlineStr">
        <is>
          <t>스태미나</t>
        </is>
      </c>
      <c r="D98" s="18" t="inlineStr">
        <is>
          <t>바 표시</t>
        </is>
      </c>
      <c r="E98" s="18" t="inlineStr">
        <is>
          <t>연출</t>
        </is>
      </c>
      <c r="F98" s="18" t="inlineStr">
        <is>
          <t>Mid</t>
        </is>
      </c>
      <c r="G98" s="19" t="inlineStr">
        <is>
          <t>인게임</t>
        </is>
      </c>
      <c r="H98" s="19" t="inlineStr">
        <is>
          <t>스태미나 바가 필요할 때만 보이는지 확인한다</t>
        </is>
      </c>
      <c r="I98" s="19" t="inlineStr">
        <is>
          <t>1. 가만히 서 있기
2. 달리기
3. 정지 후 회복 완료까지 대기</t>
        </is>
      </c>
      <c r="J98" s="19" t="inlineStr">
        <is>
          <t>쓰거나 회복 중엔 보이고 가득 차면 서서히 사라진다</t>
        </is>
      </c>
      <c r="K98" s="16" t="inlineStr"/>
      <c r="L98" s="17" t="inlineStr"/>
      <c r="M98" s="19" t="inlineStr"/>
      <c r="N98" s="16" t="inlineStr"/>
    </row>
    <row r="99" ht="44.59999999999999" customHeight="1">
      <c r="A99" s="18" t="n">
        <v>95</v>
      </c>
      <c r="B99" s="18" t="inlineStr">
        <is>
          <t>플레이어</t>
        </is>
      </c>
      <c r="C99" s="18" t="inlineStr">
        <is>
          <t>스태미나</t>
        </is>
      </c>
      <c r="D99" s="18" t="inlineStr">
        <is>
          <t>최대치 증가 반영</t>
        </is>
      </c>
      <c r="E99" s="18" t="inlineStr">
        <is>
          <t>데이터</t>
        </is>
      </c>
      <c r="F99" s="18" t="inlineStr">
        <is>
          <t>Mid</t>
        </is>
      </c>
      <c r="G99" s="19" t="inlineStr">
        <is>
          <t>스태미나 앰플 보유</t>
        </is>
      </c>
      <c r="H99" s="19" t="inlineStr">
        <is>
          <t>앰플로 늘어난 최대치가 바에 반영되는지 확인한다</t>
        </is>
      </c>
      <c r="I99" s="19" t="inlineStr">
        <is>
          <t>1. 앰플 사용
2. 달리기로 소모
3. 회복 관찰</t>
        </is>
      </c>
      <c r="J99" s="19" t="inlineStr">
        <is>
          <t>늘어난 최대치까지 채워진다</t>
        </is>
      </c>
      <c r="K99" s="16" t="inlineStr"/>
      <c r="L99" s="17" t="inlineStr"/>
      <c r="M99" s="19" t="inlineStr"/>
      <c r="N99" s="16" t="inlineStr"/>
    </row>
    <row r="100" ht="31.4" customHeight="1">
      <c r="A100" s="18" t="n">
        <v>96</v>
      </c>
      <c r="B100" s="18" t="inlineStr">
        <is>
          <t>플레이어</t>
        </is>
      </c>
      <c r="C100" s="18" t="inlineStr">
        <is>
          <t>카메라</t>
        </is>
      </c>
      <c r="D100" s="18" t="inlineStr">
        <is>
          <t>줌 조절</t>
        </is>
      </c>
      <c r="E100" s="18" t="inlineStr">
        <is>
          <t>기능</t>
        </is>
      </c>
      <c r="F100" s="18" t="inlineStr">
        <is>
          <t>Mid</t>
        </is>
      </c>
      <c r="G100" s="19" t="inlineStr">
        <is>
          <t>인게임</t>
        </is>
      </c>
      <c r="H100" s="19" t="inlineStr">
        <is>
          <t>휠로 카메라 거리가 조절되는지 확인한다</t>
        </is>
      </c>
      <c r="I100" s="19" t="inlineStr">
        <is>
          <t>1. 휠 위아래</t>
        </is>
      </c>
      <c r="J100" s="19" t="inlineStr">
        <is>
          <t>최소 1m ~ 최대 8m 안에서 거리가 변한다</t>
        </is>
      </c>
      <c r="K100" s="16" t="inlineStr"/>
      <c r="L100" s="17" t="inlineStr"/>
      <c r="M100" s="19" t="inlineStr"/>
      <c r="N100" s="16" t="inlineStr"/>
    </row>
    <row r="101" ht="31.4" customHeight="1">
      <c r="A101" s="18" t="n">
        <v>97</v>
      </c>
      <c r="B101" s="18" t="inlineStr">
        <is>
          <t>플레이어</t>
        </is>
      </c>
      <c r="C101" s="18" t="inlineStr">
        <is>
          <t>카메라</t>
        </is>
      </c>
      <c r="D101" s="18" t="inlineStr">
        <is>
          <t>벽 자동 줌</t>
        </is>
      </c>
      <c r="E101" s="18" t="inlineStr">
        <is>
          <t>기능</t>
        </is>
      </c>
      <c r="F101" s="15" t="inlineStr">
        <is>
          <t>High</t>
        </is>
      </c>
      <c r="G101" s="19" t="inlineStr">
        <is>
          <t>벽을 등진 위치</t>
        </is>
      </c>
      <c r="H101" s="19" t="inlineStr">
        <is>
          <t>카메라가 벽을 뚫지 않는지 확인한다</t>
        </is>
      </c>
      <c r="I101" s="19" t="inlineStr">
        <is>
          <t>1. 벽에 등을 붙이고 시점 회전</t>
        </is>
      </c>
      <c r="J101" s="19" t="inlineStr">
        <is>
          <t>카메라가 앞으로 당겨지고 벽 너머가 보이지 않는다</t>
        </is>
      </c>
      <c r="K101" s="16" t="inlineStr"/>
      <c r="L101" s="17" t="inlineStr"/>
      <c r="M101" s="19" t="inlineStr"/>
      <c r="N101" s="16" t="inlineStr"/>
    </row>
    <row r="102" ht="31.4" customHeight="1">
      <c r="A102" s="18" t="n">
        <v>98</v>
      </c>
      <c r="B102" s="18" t="inlineStr">
        <is>
          <t>플레이어</t>
        </is>
      </c>
      <c r="C102" s="18" t="inlineStr">
        <is>
          <t>카메라</t>
        </is>
      </c>
      <c r="D102" s="18" t="inlineStr">
        <is>
          <t>사망 시 시점</t>
        </is>
      </c>
      <c r="E102" s="18" t="inlineStr">
        <is>
          <t>상태</t>
        </is>
      </c>
      <c r="F102" s="18" t="inlineStr">
        <is>
          <t>Mid</t>
        </is>
      </c>
      <c r="G102" s="19" t="inlineStr">
        <is>
          <t>사망 직전</t>
        </is>
      </c>
      <c r="H102" s="19" t="inlineStr">
        <is>
          <t>사망 시 시점이 고정되는지 확인한다</t>
        </is>
      </c>
      <c r="I102" s="19" t="inlineStr">
        <is>
          <t>1. 사망
2. 마우스 이동</t>
        </is>
      </c>
      <c r="J102" s="19" t="inlineStr">
        <is>
          <t>시점이 고정되고 캐릭터가 화면에 유지된다</t>
        </is>
      </c>
      <c r="K102" s="16" t="inlineStr"/>
      <c r="L102" s="17" t="inlineStr"/>
      <c r="M102" s="19" t="inlineStr"/>
      <c r="N102" s="16" t="inlineStr"/>
    </row>
    <row r="103" ht="44.59999999999999" customHeight="1">
      <c r="A103" s="14" t="n">
        <v>99</v>
      </c>
      <c r="B103" s="14" t="inlineStr">
        <is>
          <t>인벤토리/아이템</t>
        </is>
      </c>
      <c r="C103" s="14" t="inlineStr">
        <is>
          <t>인벤토리</t>
        </is>
      </c>
      <c r="D103" s="14" t="inlineStr">
        <is>
          <t>열기/닫기</t>
        </is>
      </c>
      <c r="E103" s="14" t="inlineStr">
        <is>
          <t>기능</t>
        </is>
      </c>
      <c r="F103" s="15" t="inlineStr">
        <is>
          <t>High</t>
        </is>
      </c>
      <c r="G103" s="3" t="inlineStr">
        <is>
          <t>인게임</t>
        </is>
      </c>
      <c r="H103" s="3" t="inlineStr">
        <is>
          <t>인벤토리가 키로 열리고 닫히는지 확인한다</t>
        </is>
      </c>
      <c r="I103" s="3" t="inlineStr">
        <is>
          <t>1. I 입력
2. I 재입력
3. ESC 로도 닫기</t>
        </is>
      </c>
      <c r="J103" s="3" t="inlineStr">
        <is>
          <t>같은 키로 열리고 닫히며, 닫으면 조작이 캐릭터로 돌아온다</t>
        </is>
      </c>
      <c r="K103" s="16" t="inlineStr"/>
      <c r="L103" s="17" t="inlineStr"/>
      <c r="M103" s="3" t="inlineStr"/>
      <c r="N103" s="16" t="inlineStr"/>
    </row>
    <row r="104" ht="31.4" customHeight="1">
      <c r="A104" s="14" t="n">
        <v>100</v>
      </c>
      <c r="B104" s="14" t="inlineStr">
        <is>
          <t>인벤토리/아이템</t>
        </is>
      </c>
      <c r="C104" s="14" t="inlineStr">
        <is>
          <t>인벤토리</t>
        </is>
      </c>
      <c r="D104" s="14" t="inlineStr">
        <is>
          <t>슬롯 이동</t>
        </is>
      </c>
      <c r="E104" s="14" t="inlineStr">
        <is>
          <t>기능</t>
        </is>
      </c>
      <c r="F104" s="15" t="inlineStr">
        <is>
          <t>High</t>
        </is>
      </c>
      <c r="G104" s="3" t="inlineStr">
        <is>
          <t>아이템 보유</t>
        </is>
      </c>
      <c r="H104" s="3" t="inlineStr">
        <is>
          <t>아이템을 빈 슬롯으로 옮길 수 있는지 확인한다</t>
        </is>
      </c>
      <c r="I104" s="3" t="inlineStr">
        <is>
          <t>1. 아이템을 빈 슬롯으로 드래그</t>
        </is>
      </c>
      <c r="J104" s="3" t="inlineStr">
        <is>
          <t>해당 슬롯으로 이동하고 원래 자리는 빈다</t>
        </is>
      </c>
      <c r="K104" s="16" t="inlineStr"/>
      <c r="L104" s="17" t="inlineStr"/>
      <c r="M104" s="3" t="inlineStr"/>
      <c r="N104" s="16" t="inlineStr"/>
    </row>
    <row r="105" ht="31.4" customHeight="1">
      <c r="A105" s="14" t="n">
        <v>101</v>
      </c>
      <c r="B105" s="14" t="inlineStr">
        <is>
          <t>인벤토리/아이템</t>
        </is>
      </c>
      <c r="C105" s="14" t="inlineStr">
        <is>
          <t>인벤토리</t>
        </is>
      </c>
      <c r="D105" s="14" t="inlineStr">
        <is>
          <t>슬롯 교환</t>
        </is>
      </c>
      <c r="E105" s="14" t="inlineStr">
        <is>
          <t>기능</t>
        </is>
      </c>
      <c r="F105" s="14" t="inlineStr">
        <is>
          <t>Mid</t>
        </is>
      </c>
      <c r="G105" s="3" t="inlineStr">
        <is>
          <t>아이템 2개 이상</t>
        </is>
      </c>
      <c r="H105" s="3" t="inlineStr">
        <is>
          <t>아이템끼리 자리가 바뀌는지 확인한다</t>
        </is>
      </c>
      <c r="I105" s="3" t="inlineStr">
        <is>
          <t>1. A 를 B 위로 드래그</t>
        </is>
      </c>
      <c r="J105" s="3" t="inlineStr">
        <is>
          <t>A 와 B 위치가 서로 바뀐다</t>
        </is>
      </c>
      <c r="K105" s="16" t="inlineStr"/>
      <c r="L105" s="17" t="inlineStr"/>
      <c r="M105" s="3" t="inlineStr"/>
      <c r="N105" s="16" t="inlineStr"/>
    </row>
    <row r="106" ht="31.4" customHeight="1">
      <c r="A106" s="14" t="n">
        <v>102</v>
      </c>
      <c r="B106" s="14" t="inlineStr">
        <is>
          <t>인벤토리/아이템</t>
        </is>
      </c>
      <c r="C106" s="14" t="inlineStr">
        <is>
          <t>인벤토리</t>
        </is>
      </c>
      <c r="D106" s="14" t="inlineStr">
        <is>
          <t>여유 시 획득</t>
        </is>
      </c>
      <c r="E106" s="14" t="inlineStr">
        <is>
          <t>기능</t>
        </is>
      </c>
      <c r="F106" s="15" t="inlineStr">
        <is>
          <t>High</t>
        </is>
      </c>
      <c r="G106" s="3" t="inlineStr">
        <is>
          <t>빈 슬롯 있음</t>
        </is>
      </c>
      <c r="H106" s="3" t="inlineStr">
        <is>
          <t>필드 아이템이 인벤토리로 들어오는지 확인한다</t>
        </is>
      </c>
      <c r="I106" s="3" t="inlineStr">
        <is>
          <t>1. 필드 아이템 위에서 F</t>
        </is>
      </c>
      <c r="J106" s="3" t="inlineStr">
        <is>
          <t>인벤토리에 추가되고 획득 로그가 뜬다</t>
        </is>
      </c>
      <c r="K106" s="16" t="inlineStr"/>
      <c r="L106" s="17" t="inlineStr"/>
      <c r="M106" s="3" t="inlineStr"/>
      <c r="N106" s="16" t="inlineStr"/>
    </row>
    <row r="107" ht="31.4" customHeight="1">
      <c r="A107" s="14" t="n">
        <v>103</v>
      </c>
      <c r="B107" s="14" t="inlineStr">
        <is>
          <t>인벤토리/아이템</t>
        </is>
      </c>
      <c r="C107" s="14" t="inlineStr">
        <is>
          <t>인벤토리</t>
        </is>
      </c>
      <c r="D107" s="14" t="inlineStr">
        <is>
          <t>수량 스택</t>
        </is>
      </c>
      <c r="E107" s="14" t="inlineStr">
        <is>
          <t>기능</t>
        </is>
      </c>
      <c r="F107" s="15" t="inlineStr">
        <is>
          <t>High</t>
        </is>
      </c>
      <c r="G107" s="3" t="inlineStr">
        <is>
          <t>같은 아이템 보유</t>
        </is>
      </c>
      <c r="H107" s="3" t="inlineStr">
        <is>
          <t>같은 아이템이 한 칸에 쌓이는지 확인한다</t>
        </is>
      </c>
      <c r="I107" s="3" t="inlineStr">
        <is>
          <t>1. 같은 아이템을 추가 획득</t>
        </is>
      </c>
      <c r="J107" s="3" t="inlineStr">
        <is>
          <t>새 칸이 아니라 기존 칸의 수량이 오른다</t>
        </is>
      </c>
      <c r="K107" s="16" t="inlineStr"/>
      <c r="L107" s="17" t="inlineStr"/>
      <c r="M107" s="3" t="inlineStr"/>
      <c r="N107" s="16" t="inlineStr"/>
    </row>
    <row r="108" ht="31.4" customHeight="1">
      <c r="A108" s="14" t="n">
        <v>104</v>
      </c>
      <c r="B108" s="14" t="inlineStr">
        <is>
          <t>인벤토리/아이템</t>
        </is>
      </c>
      <c r="C108" s="14" t="inlineStr">
        <is>
          <t>인벤토리</t>
        </is>
      </c>
      <c r="D108" s="14" t="inlineStr">
        <is>
          <t>버리기</t>
        </is>
      </c>
      <c r="E108" s="14" t="inlineStr">
        <is>
          <t>기능</t>
        </is>
      </c>
      <c r="F108" s="14" t="inlineStr">
        <is>
          <t>Mid</t>
        </is>
      </c>
      <c r="G108" s="3" t="inlineStr">
        <is>
          <t>아이템 보유</t>
        </is>
      </c>
      <c r="H108" s="3" t="inlineStr">
        <is>
          <t>버리기가 확인창을 거치는지 확인한다</t>
        </is>
      </c>
      <c r="I108" s="3" t="inlineStr">
        <is>
          <t>1. 우클릭 → 버리기
2. 확인</t>
        </is>
      </c>
      <c r="J108" s="3" t="inlineStr">
        <is>
          <t>확인 후에만 사라지고 필드에 드랍된다</t>
        </is>
      </c>
      <c r="K108" s="16" t="inlineStr"/>
      <c r="L108" s="17" t="inlineStr"/>
      <c r="M108" s="3" t="inlineStr"/>
      <c r="N108" s="16" t="inlineStr"/>
    </row>
    <row r="109" ht="31.4" customHeight="1">
      <c r="A109" s="14" t="n">
        <v>105</v>
      </c>
      <c r="B109" s="14" t="inlineStr">
        <is>
          <t>인벤토리/아이템</t>
        </is>
      </c>
      <c r="C109" s="14" t="inlineStr">
        <is>
          <t>인벤토리</t>
        </is>
      </c>
      <c r="D109" s="14" t="inlineStr">
        <is>
          <t>카테고리 필터</t>
        </is>
      </c>
      <c r="E109" s="14" t="inlineStr">
        <is>
          <t>기능</t>
        </is>
      </c>
      <c r="F109" s="14" t="inlineStr">
        <is>
          <t>Mid</t>
        </is>
      </c>
      <c r="G109" s="3" t="inlineStr">
        <is>
          <t>여러 카테고리 보유</t>
        </is>
      </c>
      <c r="H109" s="3" t="inlineStr">
        <is>
          <t>카테고리 탭이 목록을 걸러 주는지 확인한다</t>
        </is>
      </c>
      <c r="I109" s="3" t="inlineStr">
        <is>
          <t>1. 원재료 / 가공품 / 소모품 탭 각각 클릭</t>
        </is>
      </c>
      <c r="J109" s="3" t="inlineStr">
        <is>
          <t>해당 카테고리만 표시된다</t>
        </is>
      </c>
      <c r="K109" s="16" t="inlineStr"/>
      <c r="L109" s="17" t="inlineStr"/>
      <c r="M109" s="3" t="inlineStr"/>
      <c r="N109" s="16" t="inlineStr"/>
    </row>
    <row r="110" ht="31.4" customHeight="1">
      <c r="A110" s="14" t="n">
        <v>106</v>
      </c>
      <c r="B110" s="14" t="inlineStr">
        <is>
          <t>인벤토리/아이템</t>
        </is>
      </c>
      <c r="C110" s="14" t="inlineStr">
        <is>
          <t>인벤토리</t>
        </is>
      </c>
      <c r="D110" s="14" t="inlineStr">
        <is>
          <t>등급 표시</t>
        </is>
      </c>
      <c r="E110" s="14" t="inlineStr">
        <is>
          <t>연출</t>
        </is>
      </c>
      <c r="F110" s="14" t="inlineStr">
        <is>
          <t>Low</t>
        </is>
      </c>
      <c r="G110" s="3" t="inlineStr">
        <is>
          <t>등급 다른 아이템 보유</t>
        </is>
      </c>
      <c r="H110" s="3" t="inlineStr">
        <is>
          <t>등급이 테두리 색으로 구분되는지 확인한다</t>
        </is>
      </c>
      <c r="I110" s="3" t="inlineStr">
        <is>
          <t>1. Advanced / Rare / Hero 아이템 나란히 확인</t>
        </is>
      </c>
      <c r="J110" s="3" t="inlineStr">
        <is>
          <t>등급별 테두리 색이 다르다</t>
        </is>
      </c>
      <c r="K110" s="16" t="inlineStr"/>
      <c r="L110" s="17" t="inlineStr"/>
      <c r="M110" s="3" t="inlineStr"/>
      <c r="N110" s="16" t="inlineStr"/>
    </row>
    <row r="111" ht="31.4" customHeight="1">
      <c r="A111" s="14" t="n">
        <v>107</v>
      </c>
      <c r="B111" s="14" t="inlineStr">
        <is>
          <t>인벤토리/아이템</t>
        </is>
      </c>
      <c r="C111" s="14" t="inlineStr">
        <is>
          <t>창고</t>
        </is>
      </c>
      <c r="D111" s="14" t="inlineStr">
        <is>
          <t>인벤↔창고</t>
        </is>
      </c>
      <c r="E111" s="14" t="inlineStr">
        <is>
          <t>기능</t>
        </is>
      </c>
      <c r="F111" s="15" t="inlineStr">
        <is>
          <t>High</t>
        </is>
      </c>
      <c r="G111" s="3" t="inlineStr">
        <is>
          <t>창고 접근 가능</t>
        </is>
      </c>
      <c r="H111" s="3" t="inlineStr">
        <is>
          <t>인벤토리와 창고 사이 이동이 되는지 확인한다</t>
        </is>
      </c>
      <c r="I111" s="3" t="inlineStr">
        <is>
          <t>1. 창고 열기
2. 양방향으로 드래그</t>
        </is>
      </c>
      <c r="J111" s="3" t="inlineStr">
        <is>
          <t>옮긴 대로 양쪽 목록이 갱신된다</t>
        </is>
      </c>
      <c r="K111" s="16" t="inlineStr"/>
      <c r="L111" s="17" t="inlineStr"/>
      <c r="M111" s="3" t="inlineStr"/>
      <c r="N111" s="16" t="inlineStr"/>
    </row>
    <row r="112" ht="31.4" customHeight="1">
      <c r="A112" s="14" t="n">
        <v>108</v>
      </c>
      <c r="B112" s="14" t="inlineStr">
        <is>
          <t>인벤토리/아이템</t>
        </is>
      </c>
      <c r="C112" s="14" t="inlineStr">
        <is>
          <t>창고</t>
        </is>
      </c>
      <c r="D112" s="14" t="inlineStr">
        <is>
          <t>유입 알림</t>
        </is>
      </c>
      <c r="E112" s="14" t="inlineStr">
        <is>
          <t>연출</t>
        </is>
      </c>
      <c r="F112" s="14" t="inlineStr">
        <is>
          <t>Mid</t>
        </is>
      </c>
      <c r="G112" s="3" t="inlineStr">
        <is>
          <t>창고 자동 유입 발생</t>
        </is>
      </c>
      <c r="H112" s="3" t="inlineStr">
        <is>
          <t>유입 알림이 중복 없이 합산되는지 확인한다</t>
        </is>
      </c>
      <c r="I112" s="3" t="inlineStr">
        <is>
          <t>1. 보상을 연속 3회 획득</t>
        </is>
      </c>
      <c r="J112" s="3" t="inlineStr">
        <is>
          <t>알림이 3개 뜨지 않고 합산 1개로 표시된다</t>
        </is>
      </c>
      <c r="K112" s="16" t="inlineStr"/>
      <c r="L112" s="17" t="inlineStr"/>
      <c r="M112" s="3" t="inlineStr"/>
      <c r="N112" s="16" t="inlineStr"/>
    </row>
    <row r="113" ht="31.4" customHeight="1">
      <c r="A113" s="14" t="n">
        <v>109</v>
      </c>
      <c r="B113" s="14" t="inlineStr">
        <is>
          <t>인벤토리/아이템</t>
        </is>
      </c>
      <c r="C113" s="14" t="inlineStr">
        <is>
          <t>퀵슬롯</t>
        </is>
      </c>
      <c r="D113" s="14" t="inlineStr">
        <is>
          <t>등록</t>
        </is>
      </c>
      <c r="E113" s="14" t="inlineStr">
        <is>
          <t>기능</t>
        </is>
      </c>
      <c r="F113" s="15" t="inlineStr">
        <is>
          <t>High</t>
        </is>
      </c>
      <c r="G113" s="3" t="inlineStr">
        <is>
          <t>소모품 보유</t>
        </is>
      </c>
      <c r="H113" s="3" t="inlineStr">
        <is>
          <t>퀵슬롯에 등록되는지 확인한다</t>
        </is>
      </c>
      <c r="I113" s="3" t="inlineStr">
        <is>
          <t>1. 앰플을 퀵슬롯으로 드래그</t>
        </is>
      </c>
      <c r="J113" s="3" t="inlineStr">
        <is>
          <t>슬롯에 아이콘과 수량이 표시된다</t>
        </is>
      </c>
      <c r="K113" s="16" t="inlineStr"/>
      <c r="L113" s="17" t="inlineStr"/>
      <c r="M113" s="3" t="inlineStr"/>
      <c r="N113" s="16" t="inlineStr"/>
    </row>
    <row r="114" ht="31.4" customHeight="1">
      <c r="A114" s="14" t="n">
        <v>110</v>
      </c>
      <c r="B114" s="14" t="inlineStr">
        <is>
          <t>인벤토리/아이템</t>
        </is>
      </c>
      <c r="C114" s="14" t="inlineStr">
        <is>
          <t>퀵슬롯</t>
        </is>
      </c>
      <c r="D114" s="14" t="inlineStr">
        <is>
          <t>사용</t>
        </is>
      </c>
      <c r="E114" s="14" t="inlineStr">
        <is>
          <t>기능</t>
        </is>
      </c>
      <c r="F114" s="15" t="inlineStr">
        <is>
          <t>High</t>
        </is>
      </c>
      <c r="G114" s="3" t="inlineStr">
        <is>
          <t>퀵슬롯 등록</t>
        </is>
      </c>
      <c r="H114" s="3" t="inlineStr">
        <is>
          <t>퀵슬롯 키로 사용되는지 확인한다</t>
        </is>
      </c>
      <c r="I114" s="3" t="inlineStr">
        <is>
          <t>1. 숫자 키 입력</t>
        </is>
      </c>
      <c r="J114" s="3" t="inlineStr">
        <is>
          <t>아이템이 사용되고 수량이 1 줄어든다</t>
        </is>
      </c>
      <c r="K114" s="16" t="inlineStr"/>
      <c r="L114" s="17" t="inlineStr"/>
      <c r="M114" s="3" t="inlineStr"/>
      <c r="N114" s="16" t="inlineStr"/>
    </row>
    <row r="115" ht="31.4" customHeight="1">
      <c r="A115" s="14" t="n">
        <v>111</v>
      </c>
      <c r="B115" s="14" t="inlineStr">
        <is>
          <t>인벤토리/아이템</t>
        </is>
      </c>
      <c r="C115" s="14" t="inlineStr">
        <is>
          <t>퀵슬롯</t>
        </is>
      </c>
      <c r="D115" s="14" t="inlineStr">
        <is>
          <t>소진 갱신</t>
        </is>
      </c>
      <c r="E115" s="14" t="inlineStr">
        <is>
          <t>상태</t>
        </is>
      </c>
      <c r="F115" s="14" t="inlineStr">
        <is>
          <t>Mid</t>
        </is>
      </c>
      <c r="G115" s="3" t="inlineStr">
        <is>
          <t>퀵슬롯 아이템 1개</t>
        </is>
      </c>
      <c r="H115" s="3" t="inlineStr">
        <is>
          <t>마지막 1개를 쓰면 슬롯이 비는지 확인한다</t>
        </is>
      </c>
      <c r="I115" s="3" t="inlineStr">
        <is>
          <t>1. 마지막 1개 사용</t>
        </is>
      </c>
      <c r="J115" s="3" t="inlineStr">
        <is>
          <t>슬롯이 빈 칸으로 바뀐다</t>
        </is>
      </c>
      <c r="K115" s="16" t="inlineStr"/>
      <c r="L115" s="17" t="inlineStr"/>
      <c r="M115" s="3" t="inlineStr"/>
      <c r="N115" s="16" t="inlineStr"/>
    </row>
    <row r="116" ht="31.4" customHeight="1">
      <c r="A116" s="14" t="n">
        <v>112</v>
      </c>
      <c r="B116" s="14" t="inlineStr">
        <is>
          <t>인벤토리/아이템</t>
        </is>
      </c>
      <c r="C116" s="14" t="inlineStr">
        <is>
          <t>소모품</t>
        </is>
      </c>
      <c r="D116" s="14" t="inlineStr">
        <is>
          <t>회복 앰플</t>
        </is>
      </c>
      <c r="E116" s="14" t="inlineStr">
        <is>
          <t>데이터</t>
        </is>
      </c>
      <c r="F116" s="15" t="inlineStr">
        <is>
          <t>High</t>
        </is>
      </c>
      <c r="G116" s="3" t="inlineStr">
        <is>
          <t>HP 50%</t>
        </is>
      </c>
      <c r="H116" s="3" t="inlineStr">
        <is>
          <t>회복 앰플이 정의된 비율만큼 회복하는지 확인한다</t>
        </is>
      </c>
      <c r="I116" s="3" t="inlineStr">
        <is>
          <t>1. 초급 회복 앰플 사용
2. HP 확인</t>
        </is>
      </c>
      <c r="J116" s="3" t="inlineStr">
        <is>
          <t>최대 시간의 15% 가 즉시 회복된다</t>
        </is>
      </c>
      <c r="K116" s="16" t="inlineStr"/>
      <c r="L116" s="17" t="inlineStr"/>
      <c r="M116" s="3" t="inlineStr"/>
      <c r="N116" s="16" t="inlineStr"/>
    </row>
    <row r="117" ht="31.4" customHeight="1">
      <c r="A117" s="14" t="n">
        <v>113</v>
      </c>
      <c r="B117" s="14" t="inlineStr">
        <is>
          <t>인벤토리/아이템</t>
        </is>
      </c>
      <c r="C117" s="14" t="inlineStr">
        <is>
          <t>소모품</t>
        </is>
      </c>
      <c r="D117" s="14" t="inlineStr">
        <is>
          <t>회복 등급차</t>
        </is>
      </c>
      <c r="E117" s="14" t="inlineStr">
        <is>
          <t>데이터</t>
        </is>
      </c>
      <c r="F117" s="14" t="inlineStr">
        <is>
          <t>Mid</t>
        </is>
      </c>
      <c r="G117" s="3" t="inlineStr">
        <is>
          <t>회복 앰플 3등급 보유</t>
        </is>
      </c>
      <c r="H117" s="3" t="inlineStr">
        <is>
          <t>등급별 회복량이 다른지 확인한다</t>
        </is>
      </c>
      <c r="I117" s="3" t="inlineStr">
        <is>
          <t>1. HP 를 낮춘다
2. 초급/중급/고급을 차례로 사용</t>
        </is>
      </c>
      <c r="J117" s="3" t="inlineStr">
        <is>
          <t>15% / 35% / 80% 로 등급이 오를수록 커진다</t>
        </is>
      </c>
      <c r="K117" s="16" t="inlineStr"/>
      <c r="L117" s="17" t="inlineStr"/>
      <c r="M117" s="3" t="inlineStr"/>
      <c r="N117" s="16" t="inlineStr"/>
    </row>
    <row r="118" ht="44.59999999999999" customHeight="1">
      <c r="A118" s="14" t="n">
        <v>114</v>
      </c>
      <c r="B118" s="14" t="inlineStr">
        <is>
          <t>인벤토리/아이템</t>
        </is>
      </c>
      <c r="C118" s="14" t="inlineStr">
        <is>
          <t>소모품</t>
        </is>
      </c>
      <c r="D118" s="14" t="inlineStr">
        <is>
          <t>공격력 앰플</t>
        </is>
      </c>
      <c r="E118" s="14" t="inlineStr">
        <is>
          <t>데이터</t>
        </is>
      </c>
      <c r="F118" s="15" t="inlineStr">
        <is>
          <t>High</t>
        </is>
      </c>
      <c r="G118" s="3" t="inlineStr">
        <is>
          <t>공격력 앰플 보유</t>
        </is>
      </c>
      <c r="H118" s="3" t="inlineStr">
        <is>
          <t>공격력이 표기치만큼 오르는지 확인한다</t>
        </is>
      </c>
      <c r="I118" s="3" t="inlineStr">
        <is>
          <t>1. 스탯창 공격력 기록
2. 초급 공격력 앰플 사용
3. 재확인</t>
        </is>
      </c>
      <c r="J118" s="3" t="inlineStr">
        <is>
          <t>공격력이 0.2 오른다</t>
        </is>
      </c>
      <c r="K118" s="16" t="inlineStr"/>
      <c r="L118" s="17" t="inlineStr"/>
      <c r="M118" s="3" t="inlineStr"/>
      <c r="N118" s="16" t="inlineStr"/>
    </row>
    <row r="119" ht="44.59999999999999" customHeight="1">
      <c r="A119" s="14" t="n">
        <v>115</v>
      </c>
      <c r="B119" s="14" t="inlineStr">
        <is>
          <t>인벤토리/아이템</t>
        </is>
      </c>
      <c r="C119" s="14" t="inlineStr">
        <is>
          <t>소모품</t>
        </is>
      </c>
      <c r="D119" s="14" t="inlineStr">
        <is>
          <t>방어력 앰플</t>
        </is>
      </c>
      <c r="E119" s="14" t="inlineStr">
        <is>
          <t>데이터</t>
        </is>
      </c>
      <c r="F119" s="15" t="inlineStr">
        <is>
          <t>High</t>
        </is>
      </c>
      <c r="G119" s="3" t="inlineStr">
        <is>
          <t>방어력 앰플 보유</t>
        </is>
      </c>
      <c r="H119" s="3" t="inlineStr">
        <is>
          <t>방어력이 표기치만큼 오르는지 확인한다</t>
        </is>
      </c>
      <c r="I119" s="3" t="inlineStr">
        <is>
          <t>1. 스탯창 방어력 기록
2. 초급 방어력 앰플 사용
3. 재확인</t>
        </is>
      </c>
      <c r="J119" s="3" t="inlineStr">
        <is>
          <t>방어력이 0.2 오른다</t>
        </is>
      </c>
      <c r="K119" s="16" t="inlineStr"/>
      <c r="L119" s="17" t="inlineStr"/>
      <c r="M119" s="3" t="inlineStr"/>
      <c r="N119" s="16" t="inlineStr"/>
    </row>
    <row r="120" ht="44.59999999999999" customHeight="1">
      <c r="A120" s="14" t="n">
        <v>116</v>
      </c>
      <c r="B120" s="14" t="inlineStr">
        <is>
          <t>인벤토리/아이템</t>
        </is>
      </c>
      <c r="C120" s="14" t="inlineStr">
        <is>
          <t>소모품</t>
        </is>
      </c>
      <c r="D120" s="14" t="inlineStr">
        <is>
          <t>스태미나 앰플</t>
        </is>
      </c>
      <c r="E120" s="14" t="inlineStr">
        <is>
          <t>데이터</t>
        </is>
      </c>
      <c r="F120" s="15" t="inlineStr">
        <is>
          <t>High</t>
        </is>
      </c>
      <c r="G120" s="3" t="inlineStr">
        <is>
          <t>스태미나 앰플 보유</t>
        </is>
      </c>
      <c r="H120" s="3" t="inlineStr">
        <is>
          <t>최대 스태미나가 표기치만큼 오르는지 확인한다</t>
        </is>
      </c>
      <c r="I120" s="3" t="inlineStr">
        <is>
          <t>1. 최대치 기록
2. 초급 스태미나 앰플 사용
3. 재확인</t>
        </is>
      </c>
      <c r="J120" s="3" t="inlineStr">
        <is>
          <t>최대 스태미나가 2 오른다</t>
        </is>
      </c>
      <c r="K120" s="16" t="inlineStr"/>
      <c r="L120" s="17" t="inlineStr"/>
      <c r="M120" s="3" t="inlineStr"/>
      <c r="N120" s="16" t="inlineStr"/>
    </row>
    <row r="121" ht="44.59999999999999" customHeight="1">
      <c r="A121" s="14" t="n">
        <v>117</v>
      </c>
      <c r="B121" s="14" t="inlineStr">
        <is>
          <t>인벤토리/아이템</t>
        </is>
      </c>
      <c r="C121" s="14" t="inlineStr">
        <is>
          <t>소모품</t>
        </is>
      </c>
      <c r="D121" s="14" t="inlineStr">
        <is>
          <t>스탯 등급차</t>
        </is>
      </c>
      <c r="E121" s="14" t="inlineStr">
        <is>
          <t>데이터</t>
        </is>
      </c>
      <c r="F121" s="14" t="inlineStr">
        <is>
          <t>Mid</t>
        </is>
      </c>
      <c r="G121" s="3" t="inlineStr">
        <is>
          <t>스탯 앰플 3등급 보유</t>
        </is>
      </c>
      <c r="H121" s="3" t="inlineStr">
        <is>
          <t>등급별 상승량이 다른지 확인한다</t>
        </is>
      </c>
      <c r="I121" s="3" t="inlineStr">
        <is>
          <t>1. 초급/중급/고급 공격력 앰플을 차례로 사용
2. 각 단계 스탯 기록</t>
        </is>
      </c>
      <c r="J121" s="3" t="inlineStr">
        <is>
          <t>0.2 / 0.8 / 2 로 등급이 오를수록 커진다</t>
        </is>
      </c>
      <c r="K121" s="16" t="inlineStr"/>
      <c r="L121" s="17" t="inlineStr"/>
      <c r="M121" s="3" t="inlineStr"/>
      <c r="N121" s="16" t="inlineStr"/>
    </row>
    <row r="122" ht="31.4" customHeight="1">
      <c r="A122" s="14" t="n">
        <v>118</v>
      </c>
      <c r="B122" s="14" t="inlineStr">
        <is>
          <t>인벤토리/아이템</t>
        </is>
      </c>
      <c r="C122" s="14" t="inlineStr">
        <is>
          <t>소모품</t>
        </is>
      </c>
      <c r="D122" s="14" t="inlineStr">
        <is>
          <t>스탯 누적</t>
        </is>
      </c>
      <c r="E122" s="14" t="inlineStr">
        <is>
          <t>상태</t>
        </is>
      </c>
      <c r="F122" s="15" t="inlineStr">
        <is>
          <t>High</t>
        </is>
      </c>
      <c r="G122" s="3" t="inlineStr">
        <is>
          <t>같은 앰플 3개</t>
        </is>
      </c>
      <c r="H122" s="3" t="inlineStr">
        <is>
          <t>반복 사용이 누적되는지 확인한다</t>
        </is>
      </c>
      <c r="I122" s="3" t="inlineStr">
        <is>
          <t>1. 초급 공격력 앰플 3회 사용
2. 스탯창 확인</t>
        </is>
      </c>
      <c r="J122" s="3" t="inlineStr">
        <is>
          <t>0.6 이 더해져 있다</t>
        </is>
      </c>
      <c r="K122" s="16" t="inlineStr"/>
      <c r="L122" s="17" t="inlineStr"/>
      <c r="M122" s="3" t="inlineStr"/>
      <c r="N122" s="16" t="inlineStr"/>
    </row>
    <row r="123" ht="57.8" customHeight="1">
      <c r="A123" s="14" t="n">
        <v>119</v>
      </c>
      <c r="B123" s="14" t="inlineStr">
        <is>
          <t>인벤토리/아이템</t>
        </is>
      </c>
      <c r="C123" s="14" t="inlineStr">
        <is>
          <t>소모품</t>
        </is>
      </c>
      <c r="D123" s="14" t="inlineStr">
        <is>
          <t>스탯 영구 유지</t>
        </is>
      </c>
      <c r="E123" s="14" t="inlineStr">
        <is>
          <t>상태</t>
        </is>
      </c>
      <c r="F123" s="15" t="inlineStr">
        <is>
          <t>High</t>
        </is>
      </c>
      <c r="G123" s="3" t="inlineStr">
        <is>
          <t>스탯 앰플 사용 후</t>
        </is>
      </c>
      <c r="H123" s="3" t="inlineStr">
        <is>
          <t>영구 상승이 사망·재접속 후에도 남는지 확인한다</t>
        </is>
      </c>
      <c r="I123" s="3" t="inlineStr">
        <is>
          <t>1. 앰플 사용
2. 사망 후 리스폰
3. 저장·종료·이어하기
4. 스탯창</t>
        </is>
      </c>
      <c r="J123" s="3" t="inlineStr">
        <is>
          <t>상승치가 그대로 남아 있다</t>
        </is>
      </c>
      <c r="K123" s="16" t="inlineStr"/>
      <c r="L123" s="17" t="inlineStr"/>
      <c r="M123" s="3" t="inlineStr"/>
      <c r="N123" s="16" t="inlineStr"/>
    </row>
    <row r="124" ht="31.4" customHeight="1">
      <c r="A124" s="14" t="n">
        <v>120</v>
      </c>
      <c r="B124" s="14" t="inlineStr">
        <is>
          <t>인벤토리/아이템</t>
        </is>
      </c>
      <c r="C124" s="14" t="inlineStr">
        <is>
          <t>획득</t>
        </is>
      </c>
      <c r="D124" s="14" t="inlineStr">
        <is>
          <t>필드 드랍</t>
        </is>
      </c>
      <c r="E124" s="14" t="inlineStr">
        <is>
          <t>기능</t>
        </is>
      </c>
      <c r="F124" s="15" t="inlineStr">
        <is>
          <t>High</t>
        </is>
      </c>
      <c r="G124" s="3" t="inlineStr">
        <is>
          <t>적 처치</t>
        </is>
      </c>
      <c r="H124" s="3" t="inlineStr">
        <is>
          <t>처치 후 드랍이 생기는지 확인한다</t>
        </is>
      </c>
      <c r="I124" s="3" t="inlineStr">
        <is>
          <t>1. 적 처치
2. 드랍 확인</t>
        </is>
      </c>
      <c r="J124" s="3" t="inlineStr">
        <is>
          <t>드랍 상자가 생성되고 F 로 열린다</t>
        </is>
      </c>
      <c r="K124" s="16" t="inlineStr"/>
      <c r="L124" s="17" t="inlineStr"/>
      <c r="M124" s="3" t="inlineStr"/>
      <c r="N124" s="16" t="inlineStr"/>
    </row>
    <row r="125" ht="31.4" customHeight="1">
      <c r="A125" s="14" t="n">
        <v>121</v>
      </c>
      <c r="B125" s="14" t="inlineStr">
        <is>
          <t>인벤토리/아이템</t>
        </is>
      </c>
      <c r="C125" s="14" t="inlineStr">
        <is>
          <t>획득</t>
        </is>
      </c>
      <c r="D125" s="14" t="inlineStr">
        <is>
          <t>드랍 소멸</t>
        </is>
      </c>
      <c r="E125" s="14" t="inlineStr">
        <is>
          <t>상태</t>
        </is>
      </c>
      <c r="F125" s="14" t="inlineStr">
        <is>
          <t>Mid</t>
        </is>
      </c>
      <c r="G125" s="3" t="inlineStr">
        <is>
          <t>드랍 방치</t>
        </is>
      </c>
      <c r="H125" s="3" t="inlineStr">
        <is>
          <t>드랍이 일정 시간 뒤 사라지는지 확인한다</t>
        </is>
      </c>
      <c r="I125" s="3" t="inlineStr">
        <is>
          <t>1. 드랍을 줍지 않고 대기</t>
        </is>
      </c>
      <c r="J125" s="3" t="inlineStr">
        <is>
          <t>정의된 시간 뒤 사라진다</t>
        </is>
      </c>
      <c r="K125" s="16" t="inlineStr"/>
      <c r="L125" s="17" t="inlineStr"/>
      <c r="M125" s="3" t="inlineStr"/>
      <c r="N125" s="16" t="inlineStr"/>
    </row>
    <row r="126" ht="31.4" customHeight="1">
      <c r="A126" s="14" t="n">
        <v>122</v>
      </c>
      <c r="B126" s="14" t="inlineStr">
        <is>
          <t>인벤토리/아이템</t>
        </is>
      </c>
      <c r="C126" s="14" t="inlineStr">
        <is>
          <t>획득</t>
        </is>
      </c>
      <c r="D126" s="14" t="inlineStr">
        <is>
          <t>획득 로그</t>
        </is>
      </c>
      <c r="E126" s="14" t="inlineStr">
        <is>
          <t>연출</t>
        </is>
      </c>
      <c r="F126" s="14" t="inlineStr">
        <is>
          <t>Low</t>
        </is>
      </c>
      <c r="G126" s="3" t="inlineStr">
        <is>
          <t>연속 획득</t>
        </is>
      </c>
      <c r="H126" s="3" t="inlineStr">
        <is>
          <t>획득 로그가 합산되는지 확인한다</t>
        </is>
      </c>
      <c r="I126" s="3" t="inlineStr">
        <is>
          <t>1. 같은 아이템 연속 획득</t>
        </is>
      </c>
      <c r="J126" s="3" t="inlineStr">
        <is>
          <t>개별 나열이 아니라 합산 수량으로 표시된다</t>
        </is>
      </c>
      <c r="K126" s="16" t="inlineStr"/>
      <c r="L126" s="17" t="inlineStr"/>
      <c r="M126" s="3" t="inlineStr"/>
      <c r="N126" s="16" t="inlineStr"/>
    </row>
    <row r="127" ht="31.4" customHeight="1">
      <c r="A127" s="14" t="n">
        <v>123</v>
      </c>
      <c r="B127" s="14" t="inlineStr">
        <is>
          <t>인벤토리/아이템</t>
        </is>
      </c>
      <c r="C127" s="14" t="inlineStr">
        <is>
          <t>획득</t>
        </is>
      </c>
      <c r="D127" s="14" t="inlineStr">
        <is>
          <t>드랍 확률</t>
        </is>
      </c>
      <c r="E127" s="14" t="inlineStr">
        <is>
          <t>데이터</t>
        </is>
      </c>
      <c r="F127" s="14" t="inlineStr">
        <is>
          <t>Mid</t>
        </is>
      </c>
      <c r="G127" s="3" t="inlineStr">
        <is>
          <t>드롭 테이블 보유 몬스터</t>
        </is>
      </c>
      <c r="H127" s="3" t="inlineStr">
        <is>
          <t>드랍 확률이 테이블에 근접하는지 확인한다</t>
        </is>
      </c>
      <c r="I127" s="3" t="inlineStr">
        <is>
          <t>1. 같은 몬스터 30회 처치
2. 획득 집계</t>
        </is>
      </c>
      <c r="J127" s="3" t="inlineStr">
        <is>
          <t>테이블 확률에 근접한 비율로 나온다</t>
        </is>
      </c>
      <c r="K127" s="16" t="inlineStr"/>
      <c r="L127" s="17" t="inlineStr"/>
      <c r="M127" s="3" t="inlineStr"/>
      <c r="N127" s="16" t="inlineStr"/>
    </row>
    <row r="128" ht="31.4" customHeight="1">
      <c r="A128" s="14" t="n">
        <v>124</v>
      </c>
      <c r="B128" s="14" t="inlineStr">
        <is>
          <t>인벤토리/아이템</t>
        </is>
      </c>
      <c r="C128" s="14" t="inlineStr">
        <is>
          <t>획득</t>
        </is>
      </c>
      <c r="D128" s="14" t="inlineStr">
        <is>
          <t>드랍 수량</t>
        </is>
      </c>
      <c r="E128" s="14" t="inlineStr">
        <is>
          <t>데이터</t>
        </is>
      </c>
      <c r="F128" s="14" t="inlineStr">
        <is>
          <t>Mid</t>
        </is>
      </c>
      <c r="G128" s="3" t="inlineStr">
        <is>
          <t>드롭 테이블 보유 몬스터</t>
        </is>
      </c>
      <c r="H128" s="3" t="inlineStr">
        <is>
          <t>드랍 수량이 정의 범위 안인지 확인한다</t>
        </is>
      </c>
      <c r="I128" s="3" t="inlineStr">
        <is>
          <t>1. 같은 몬스터 반복 처치
2. 개수 기록</t>
        </is>
      </c>
      <c r="J128" s="3" t="inlineStr">
        <is>
          <t>countDist 범위 안에서만 나온다</t>
        </is>
      </c>
      <c r="K128" s="16" t="inlineStr"/>
      <c r="L128" s="17" t="inlineStr"/>
      <c r="M128" s="3" t="inlineStr"/>
      <c r="N128" s="16" t="inlineStr"/>
    </row>
    <row r="129" ht="31.4" customHeight="1">
      <c r="A129" s="14" t="n">
        <v>125</v>
      </c>
      <c r="B129" s="14" t="inlineStr">
        <is>
          <t>인벤토리/아이템</t>
        </is>
      </c>
      <c r="C129" s="14" t="inlineStr">
        <is>
          <t>도감</t>
        </is>
      </c>
      <c r="D129" s="14" t="inlineStr">
        <is>
          <t>해금</t>
        </is>
      </c>
      <c r="E129" s="14" t="inlineStr">
        <is>
          <t>상태</t>
        </is>
      </c>
      <c r="F129" s="14" t="inlineStr">
        <is>
          <t>Mid</t>
        </is>
      </c>
      <c r="G129" s="3" t="inlineStr">
        <is>
          <t>미획득 아이템</t>
        </is>
      </c>
      <c r="H129" s="3" t="inlineStr">
        <is>
          <t>최초 획득 시 도감이 해금되는지 확인한다</t>
        </is>
      </c>
      <c r="I129" s="3" t="inlineStr">
        <is>
          <t>1. 신규 아이템 획득
2. 도감 확인</t>
        </is>
      </c>
      <c r="J129" s="3" t="inlineStr">
        <is>
          <t>해당 항목이 해금 표시로 바뀐다</t>
        </is>
      </c>
      <c r="K129" s="16" t="inlineStr"/>
      <c r="L129" s="17" t="inlineStr"/>
      <c r="M129" s="3" t="inlineStr"/>
      <c r="N129" s="16" t="inlineStr"/>
    </row>
    <row r="130" ht="31.4" customHeight="1">
      <c r="A130" s="14" t="n">
        <v>126</v>
      </c>
      <c r="B130" s="14" t="inlineStr">
        <is>
          <t>인벤토리/아이템</t>
        </is>
      </c>
      <c r="C130" s="14" t="inlineStr">
        <is>
          <t>도감</t>
        </is>
      </c>
      <c r="D130" s="14" t="inlineStr">
        <is>
          <t>탭 전환</t>
        </is>
      </c>
      <c r="E130" s="14" t="inlineStr">
        <is>
          <t>기능</t>
        </is>
      </c>
      <c r="F130" s="14" t="inlineStr">
        <is>
          <t>Mid</t>
        </is>
      </c>
      <c r="G130" s="3" t="inlineStr">
        <is>
          <t>도감 열림</t>
        </is>
      </c>
      <c r="H130" s="3" t="inlineStr">
        <is>
          <t>탭이 전환되고 호버에 반응하는지 확인한다</t>
        </is>
      </c>
      <c r="I130" s="3" t="inlineStr">
        <is>
          <t>1. 각 탭 클릭
2. 호버</t>
        </is>
      </c>
      <c r="J130" s="3" t="inlineStr">
        <is>
          <t>탭이 전환되고 호버 색이 바뀐다</t>
        </is>
      </c>
      <c r="K130" s="16" t="inlineStr"/>
      <c r="L130" s="17" t="inlineStr"/>
      <c r="M130" s="3" t="inlineStr"/>
      <c r="N130" s="16" t="inlineStr"/>
    </row>
    <row r="131" ht="31.4" customHeight="1">
      <c r="A131" s="14" t="n">
        <v>127</v>
      </c>
      <c r="B131" s="14" t="inlineStr">
        <is>
          <t>인벤토리/아이템</t>
        </is>
      </c>
      <c r="C131" s="14" t="inlineStr">
        <is>
          <t>도감</t>
        </is>
      </c>
      <c r="D131" s="14" t="inlineStr">
        <is>
          <t>영상 재생</t>
        </is>
      </c>
      <c r="E131" s="14" t="inlineStr">
        <is>
          <t>연출</t>
        </is>
      </c>
      <c r="F131" s="14" t="inlineStr">
        <is>
          <t>Low</t>
        </is>
      </c>
      <c r="G131" s="3" t="inlineStr">
        <is>
          <t>영상 있는 항목</t>
        </is>
      </c>
      <c r="H131" s="3" t="inlineStr">
        <is>
          <t>도감 영상이 끝까지 재생되는지 확인한다</t>
        </is>
      </c>
      <c r="I131" s="3" t="inlineStr">
        <is>
          <t>1. 영상 항목 선택</t>
        </is>
      </c>
      <c r="J131" s="3" t="inlineStr">
        <is>
          <t>영상이 끊김 없이 끝까지 재생되고 종료 후 도감 화면으로 돌아온다</t>
        </is>
      </c>
      <c r="K131" s="16" t="inlineStr"/>
      <c r="L131" s="17" t="inlineStr"/>
      <c r="M131" s="3" t="inlineStr"/>
      <c r="N131" s="16" t="inlineStr"/>
    </row>
    <row r="132" ht="31.4" customHeight="1">
      <c r="A132" s="14" t="n">
        <v>128</v>
      </c>
      <c r="B132" s="14" t="inlineStr">
        <is>
          <t>인벤토리/아이템</t>
        </is>
      </c>
      <c r="C132" s="14" t="inlineStr">
        <is>
          <t>드랍 획득</t>
        </is>
      </c>
      <c r="D132" s="14" t="inlineStr">
        <is>
          <t>획득 패널</t>
        </is>
      </c>
      <c r="E132" s="14" t="inlineStr">
        <is>
          <t>기능</t>
        </is>
      </c>
      <c r="F132" s="15" t="inlineStr">
        <is>
          <t>High</t>
        </is>
      </c>
      <c r="G132" s="3" t="inlineStr">
        <is>
          <t>드랍 상자 앞</t>
        </is>
      </c>
      <c r="H132" s="3" t="inlineStr">
        <is>
          <t>드랍 상자를 열면 패널이 뜨는지 확인한다</t>
        </is>
      </c>
      <c r="I132" s="3" t="inlineStr">
        <is>
          <t>1. F 입력</t>
        </is>
      </c>
      <c r="J132" s="3" t="inlineStr">
        <is>
          <t>내용물 목록 패널이 표시된다</t>
        </is>
      </c>
      <c r="K132" s="16" t="inlineStr"/>
      <c r="L132" s="17" t="inlineStr"/>
      <c r="M132" s="3" t="inlineStr"/>
      <c r="N132" s="16" t="inlineStr"/>
    </row>
    <row r="133" ht="31.4" customHeight="1">
      <c r="A133" s="14" t="n">
        <v>129</v>
      </c>
      <c r="B133" s="14" t="inlineStr">
        <is>
          <t>인벤토리/아이템</t>
        </is>
      </c>
      <c r="C133" s="14" t="inlineStr">
        <is>
          <t>드랍 획득</t>
        </is>
      </c>
      <c r="D133" s="14" t="inlineStr">
        <is>
          <t>전체 획득</t>
        </is>
      </c>
      <c r="E133" s="14" t="inlineStr">
        <is>
          <t>기능</t>
        </is>
      </c>
      <c r="F133" s="15" t="inlineStr">
        <is>
          <t>High</t>
        </is>
      </c>
      <c r="G133" s="3" t="inlineStr">
        <is>
          <t>획득 패널 열림</t>
        </is>
      </c>
      <c r="H133" s="3" t="inlineStr">
        <is>
          <t>전체 획득이 한 번에 들어오는지 확인한다</t>
        </is>
      </c>
      <c r="I133" s="3" t="inlineStr">
        <is>
          <t>1. 전체 획득 클릭</t>
        </is>
      </c>
      <c r="J133" s="3" t="inlineStr">
        <is>
          <t>모든 아이템이 인벤토리로 들어가고 패널이 닫힌다</t>
        </is>
      </c>
      <c r="K133" s="16" t="inlineStr"/>
      <c r="L133" s="17" t="inlineStr"/>
      <c r="M133" s="3" t="inlineStr"/>
      <c r="N133" s="16" t="inlineStr"/>
    </row>
    <row r="134" ht="31.4" customHeight="1">
      <c r="A134" s="14" t="n">
        <v>130</v>
      </c>
      <c r="B134" s="14" t="inlineStr">
        <is>
          <t>인벤토리/아이템</t>
        </is>
      </c>
      <c r="C134" s="14" t="inlineStr">
        <is>
          <t>드랍 획득</t>
        </is>
      </c>
      <c r="D134" s="14" t="inlineStr">
        <is>
          <t>일부 획득</t>
        </is>
      </c>
      <c r="E134" s="14" t="inlineStr">
        <is>
          <t>기능</t>
        </is>
      </c>
      <c r="F134" s="14" t="inlineStr">
        <is>
          <t>Mid</t>
        </is>
      </c>
      <c r="G134" s="3" t="inlineStr">
        <is>
          <t>획득 패널 열림</t>
        </is>
      </c>
      <c r="H134" s="3" t="inlineStr">
        <is>
          <t>개별 선택 획득이 되는지 확인한다</t>
        </is>
      </c>
      <c r="I134" s="3" t="inlineStr">
        <is>
          <t>1. 항목 하나 클릭</t>
        </is>
      </c>
      <c r="J134" s="3" t="inlineStr">
        <is>
          <t>그 항목만 들어가고 나머지는 패널에 남는다</t>
        </is>
      </c>
      <c r="K134" s="16" t="inlineStr"/>
      <c r="L134" s="17" t="inlineStr"/>
      <c r="M134" s="3" t="inlineStr"/>
      <c r="N134" s="16" t="inlineStr"/>
    </row>
    <row r="135" ht="31.4" customHeight="1">
      <c r="A135" s="14" t="n">
        <v>131</v>
      </c>
      <c r="B135" s="14" t="inlineStr">
        <is>
          <t>인벤토리/아이템</t>
        </is>
      </c>
      <c r="C135" s="14" t="inlineStr">
        <is>
          <t>발견 알림</t>
        </is>
      </c>
      <c r="D135" s="14" t="inlineStr">
        <is>
          <t>신규 아이템</t>
        </is>
      </c>
      <c r="E135" s="14" t="inlineStr">
        <is>
          <t>연출</t>
        </is>
      </c>
      <c r="F135" s="14" t="inlineStr">
        <is>
          <t>Mid</t>
        </is>
      </c>
      <c r="G135" s="3" t="inlineStr">
        <is>
          <t>미획득 아이템</t>
        </is>
      </c>
      <c r="H135" s="3" t="inlineStr">
        <is>
          <t>처음 얻는 아이템에 알림이 뜨는지 확인한다</t>
        </is>
      </c>
      <c r="I135" s="3" t="inlineStr">
        <is>
          <t>1. 신규 아이템 획득</t>
        </is>
      </c>
      <c r="J135" s="3" t="inlineStr">
        <is>
          <t>발견 알림이 뜨고 인벤토리 칸에 뱃지가 붙는다</t>
        </is>
      </c>
      <c r="K135" s="16" t="inlineStr"/>
      <c r="L135" s="17" t="inlineStr"/>
      <c r="M135" s="3" t="inlineStr"/>
      <c r="N135" s="16" t="inlineStr"/>
    </row>
    <row r="136" ht="31.4" customHeight="1">
      <c r="A136" s="14" t="n">
        <v>132</v>
      </c>
      <c r="B136" s="14" t="inlineStr">
        <is>
          <t>인벤토리/아이템</t>
        </is>
      </c>
      <c r="C136" s="14" t="inlineStr">
        <is>
          <t>발견 알림</t>
        </is>
      </c>
      <c r="D136" s="14" t="inlineStr">
        <is>
          <t>뱃지 해제</t>
        </is>
      </c>
      <c r="E136" s="14" t="inlineStr">
        <is>
          <t>상태</t>
        </is>
      </c>
      <c r="F136" s="14" t="inlineStr">
        <is>
          <t>Mid</t>
        </is>
      </c>
      <c r="G136" s="3" t="inlineStr">
        <is>
          <t>뱃지 붙은 아이템</t>
        </is>
      </c>
      <c r="H136" s="3" t="inlineStr">
        <is>
          <t>확인하면 뱃지가 사라지는지 확인한다</t>
        </is>
      </c>
      <c r="I136" s="3" t="inlineStr">
        <is>
          <t>1. 해당 아이템 마우스 오버</t>
        </is>
      </c>
      <c r="J136" s="3" t="inlineStr">
        <is>
          <t>뱃지가 사라지고 다시 안 뜬다</t>
        </is>
      </c>
      <c r="K136" s="16" t="inlineStr"/>
      <c r="L136" s="17" t="inlineStr"/>
      <c r="M136" s="3" t="inlineStr"/>
      <c r="N136" s="16" t="inlineStr"/>
    </row>
    <row r="137" ht="31.4" customHeight="1">
      <c r="A137" s="14" t="n">
        <v>133</v>
      </c>
      <c r="B137" s="14" t="inlineStr">
        <is>
          <t>인벤토리/아이템</t>
        </is>
      </c>
      <c r="C137" s="14" t="inlineStr">
        <is>
          <t>발견 알림</t>
        </is>
      </c>
      <c r="D137" s="14" t="inlineStr">
        <is>
          <t>희귀 연출</t>
        </is>
      </c>
      <c r="E137" s="14" t="inlineStr">
        <is>
          <t>연출</t>
        </is>
      </c>
      <c r="F137" s="14" t="inlineStr">
        <is>
          <t>Low</t>
        </is>
      </c>
      <c r="G137" s="3" t="inlineStr">
        <is>
          <t>Hero 등급 미획득</t>
        </is>
      </c>
      <c r="H137" s="3" t="inlineStr">
        <is>
          <t>희귀 아이템에 강조 연출이 나오는지 확인한다</t>
        </is>
      </c>
      <c r="I137" s="3" t="inlineStr">
        <is>
          <t>1. Hero 아이템 최초 획득</t>
        </is>
      </c>
      <c r="J137" s="3" t="inlineStr">
        <is>
          <t>일반보다 강한 연출이 나온다</t>
        </is>
      </c>
      <c r="K137" s="16" t="inlineStr"/>
      <c r="L137" s="17" t="inlineStr"/>
      <c r="M137" s="3" t="inlineStr"/>
      <c r="N137" s="16" t="inlineStr"/>
    </row>
    <row r="138" ht="31.4" customHeight="1">
      <c r="A138" s="18" t="n">
        <v>134</v>
      </c>
      <c r="B138" s="18" t="inlineStr">
        <is>
          <t>공장/건설</t>
        </is>
      </c>
      <c r="C138" s="18" t="inlineStr">
        <is>
          <t>건설 모드</t>
        </is>
      </c>
      <c r="D138" s="18" t="inlineStr">
        <is>
          <t>진입/이탈</t>
        </is>
      </c>
      <c r="E138" s="18" t="inlineStr">
        <is>
          <t>기능</t>
        </is>
      </c>
      <c r="F138" s="15" t="inlineStr">
        <is>
          <t>High</t>
        </is>
      </c>
      <c r="G138" s="19" t="inlineStr">
        <is>
          <t>건설 해금</t>
        </is>
      </c>
      <c r="H138" s="19" t="inlineStr">
        <is>
          <t>건설 모드가 켜지고 꺼지는지 확인한다</t>
        </is>
      </c>
      <c r="I138" s="19" t="inlineStr">
        <is>
          <t>1. B 입력
2. B 재입력</t>
        </is>
      </c>
      <c r="J138" s="19" t="inlineStr">
        <is>
          <t>그리드가 표시되고 다시 누르면 사라진다</t>
        </is>
      </c>
      <c r="K138" s="16" t="inlineStr"/>
      <c r="L138" s="17" t="inlineStr"/>
      <c r="M138" s="19" t="inlineStr"/>
      <c r="N138" s="16" t="inlineStr"/>
    </row>
    <row r="139" ht="31.4" customHeight="1">
      <c r="A139" s="18" t="n">
        <v>135</v>
      </c>
      <c r="B139" s="18" t="inlineStr">
        <is>
          <t>공장/건설</t>
        </is>
      </c>
      <c r="C139" s="18" t="inlineStr">
        <is>
          <t>건설 모드</t>
        </is>
      </c>
      <c r="D139" s="18" t="inlineStr">
        <is>
          <t>그리드 표시</t>
        </is>
      </c>
      <c r="E139" s="18" t="inlineStr">
        <is>
          <t>연출</t>
        </is>
      </c>
      <c r="F139" s="18" t="inlineStr">
        <is>
          <t>Mid</t>
        </is>
      </c>
      <c r="G139" s="19" t="inlineStr">
        <is>
          <t>건설 모드</t>
        </is>
      </c>
      <c r="H139" s="19" t="inlineStr">
        <is>
          <t>배치 가능 영역이 구분돼 보이는지 확인한다</t>
        </is>
      </c>
      <c r="I139" s="19" t="inlineStr">
        <is>
          <t>1. 건설 모드에서 결계 안팎 관찰</t>
        </is>
      </c>
      <c r="J139" s="19" t="inlineStr">
        <is>
          <t>가능 영역과 불가 영역의 격자 색이 다르다</t>
        </is>
      </c>
      <c r="K139" s="16" t="inlineStr"/>
      <c r="L139" s="17" t="inlineStr"/>
      <c r="M139" s="19" t="inlineStr"/>
      <c r="N139" s="16" t="inlineStr"/>
    </row>
    <row r="140" ht="31.4" customHeight="1">
      <c r="A140" s="18" t="n">
        <v>136</v>
      </c>
      <c r="B140" s="18" t="inlineStr">
        <is>
          <t>공장/건설</t>
        </is>
      </c>
      <c r="C140" s="18" t="inlineStr">
        <is>
          <t>건설 모드</t>
        </is>
      </c>
      <c r="D140" s="18" t="inlineStr">
        <is>
          <t>회전</t>
        </is>
      </c>
      <c r="E140" s="18" t="inlineStr">
        <is>
          <t>기능</t>
        </is>
      </c>
      <c r="F140" s="18" t="inlineStr">
        <is>
          <t>Mid</t>
        </is>
      </c>
      <c r="G140" s="19" t="inlineStr">
        <is>
          <t>설비 선택</t>
        </is>
      </c>
      <c r="H140" s="19" t="inlineStr">
        <is>
          <t>R 로 설비가 90도씩 도는지 확인한다</t>
        </is>
      </c>
      <c r="I140" s="19" t="inlineStr">
        <is>
          <t>1. 설비 선택
2. R 4회</t>
        </is>
      </c>
      <c r="J140" s="19" t="inlineStr">
        <is>
          <t>90도씩 돌아 4회에 원위치다</t>
        </is>
      </c>
      <c r="K140" s="16" t="inlineStr"/>
      <c r="L140" s="17" t="inlineStr"/>
      <c r="M140" s="19" t="inlineStr"/>
      <c r="N140" s="16" t="inlineStr"/>
    </row>
    <row r="141" ht="31.4" customHeight="1">
      <c r="A141" s="18" t="n">
        <v>137</v>
      </c>
      <c r="B141" s="18" t="inlineStr">
        <is>
          <t>공장/건설</t>
        </is>
      </c>
      <c r="C141" s="18" t="inlineStr">
        <is>
          <t>건설 모드</t>
        </is>
      </c>
      <c r="D141" s="18" t="inlineStr">
        <is>
          <t>철거</t>
        </is>
      </c>
      <c r="E141" s="18" t="inlineStr">
        <is>
          <t>기능</t>
        </is>
      </c>
      <c r="F141" s="15" t="inlineStr">
        <is>
          <t>High</t>
        </is>
      </c>
      <c r="G141" s="19" t="inlineStr">
        <is>
          <t>설비 배치</t>
        </is>
      </c>
      <c r="H141" s="19" t="inlineStr">
        <is>
          <t>철거하면 설비와 재고가 돌아오는지 확인한다</t>
        </is>
      </c>
      <c r="I141" s="19" t="inlineStr">
        <is>
          <t>1. 철거 모드
2. 설비 클릭</t>
        </is>
      </c>
      <c r="J141" s="19" t="inlineStr">
        <is>
          <t>설비가 사라지고 투입했던 재료가 인벤토리로 돌아온다</t>
        </is>
      </c>
      <c r="K141" s="16" t="inlineStr"/>
      <c r="L141" s="17" t="inlineStr"/>
      <c r="M141" s="19" t="inlineStr"/>
      <c r="N141" s="16" t="inlineStr"/>
    </row>
    <row r="142" ht="31.4" customHeight="1">
      <c r="A142" s="18" t="n">
        <v>138</v>
      </c>
      <c r="B142" s="18" t="inlineStr">
        <is>
          <t>공장/건설</t>
        </is>
      </c>
      <c r="C142" s="18" t="inlineStr">
        <is>
          <t>건설 모드</t>
        </is>
      </c>
      <c r="D142" s="18" t="inlineStr">
        <is>
          <t>청사진</t>
        </is>
      </c>
      <c r="E142" s="18" t="inlineStr">
        <is>
          <t>기능</t>
        </is>
      </c>
      <c r="F142" s="18" t="inlineStr">
        <is>
          <t>Mid</t>
        </is>
      </c>
      <c r="G142" s="19" t="inlineStr">
        <is>
          <t>건설 모드</t>
        </is>
      </c>
      <c r="H142" s="19" t="inlineStr">
        <is>
          <t>청사진이 자원 없이 미리 놓이는지 확인한다</t>
        </is>
      </c>
      <c r="I142" s="19" t="inlineStr">
        <is>
          <t>1. 청사진 모드
2. 설비 배치</t>
        </is>
      </c>
      <c r="J142" s="19" t="inlineStr">
        <is>
          <t>반투명 설비가 놓이고 자원은 줄지 않는다</t>
        </is>
      </c>
      <c r="K142" s="16" t="inlineStr"/>
      <c r="L142" s="17" t="inlineStr"/>
      <c r="M142" s="19" t="inlineStr"/>
      <c r="N142" s="16" t="inlineStr"/>
    </row>
    <row r="143" ht="31.4" customHeight="1">
      <c r="A143" s="18" t="n">
        <v>139</v>
      </c>
      <c r="B143" s="18" t="inlineStr">
        <is>
          <t>공장/건설</t>
        </is>
      </c>
      <c r="C143" s="18" t="inlineStr">
        <is>
          <t>설비</t>
        </is>
      </c>
      <c r="D143" s="18" t="inlineStr">
        <is>
          <t>연료 투입</t>
        </is>
      </c>
      <c r="E143" s="18" t="inlineStr">
        <is>
          <t>기능</t>
        </is>
      </c>
      <c r="F143" s="15" t="inlineStr">
        <is>
          <t>High</t>
        </is>
      </c>
      <c r="G143" s="19" t="inlineStr">
        <is>
          <t>설비 배치</t>
        </is>
      </c>
      <c r="H143" s="19" t="inlineStr">
        <is>
          <t>연료를 넣으면 가동되는지 확인한다</t>
        </is>
      </c>
      <c r="I143" s="19" t="inlineStr">
        <is>
          <t>1. 설비 UI
2. 연료 투입</t>
        </is>
      </c>
      <c r="J143" s="19" t="inlineStr">
        <is>
          <t>연료 게이지가 차고 가동 표시가 켜진다</t>
        </is>
      </c>
      <c r="K143" s="16" t="inlineStr"/>
      <c r="L143" s="17" t="inlineStr"/>
      <c r="M143" s="19" t="inlineStr"/>
      <c r="N143" s="16" t="inlineStr"/>
    </row>
    <row r="144" ht="18.2" customHeight="1">
      <c r="A144" s="18" t="n">
        <v>140</v>
      </c>
      <c r="B144" s="18" t="inlineStr">
        <is>
          <t>공장/건설</t>
        </is>
      </c>
      <c r="C144" s="18" t="inlineStr">
        <is>
          <t>설비</t>
        </is>
      </c>
      <c r="D144" s="18" t="inlineStr">
        <is>
          <t>연료 소진</t>
        </is>
      </c>
      <c r="E144" s="18" t="inlineStr">
        <is>
          <t>상태</t>
        </is>
      </c>
      <c r="F144" s="18" t="inlineStr">
        <is>
          <t>Mid</t>
        </is>
      </c>
      <c r="G144" s="19" t="inlineStr">
        <is>
          <t>설비 가동</t>
        </is>
      </c>
      <c r="H144" s="19" t="inlineStr">
        <is>
          <t>연료가 떨어지면 멈추는지 확인한다</t>
        </is>
      </c>
      <c r="I144" s="19" t="inlineStr">
        <is>
          <t>1. 연료 소진까지 대기</t>
        </is>
      </c>
      <c r="J144" s="19" t="inlineStr">
        <is>
          <t>가동이 멈추고 도화선이 붉게 표시된다</t>
        </is>
      </c>
      <c r="K144" s="16" t="inlineStr"/>
      <c r="L144" s="17" t="inlineStr"/>
      <c r="M144" s="19" t="inlineStr"/>
      <c r="N144" s="16" t="inlineStr"/>
    </row>
    <row r="145" ht="31.4" customHeight="1">
      <c r="A145" s="18" t="n">
        <v>141</v>
      </c>
      <c r="B145" s="18" t="inlineStr">
        <is>
          <t>공장/건설</t>
        </is>
      </c>
      <c r="C145" s="18" t="inlineStr">
        <is>
          <t>설비</t>
        </is>
      </c>
      <c r="D145" s="18" t="inlineStr">
        <is>
          <t>제작 진행</t>
        </is>
      </c>
      <c r="E145" s="18" t="inlineStr">
        <is>
          <t>기능</t>
        </is>
      </c>
      <c r="F145" s="15" t="inlineStr">
        <is>
          <t>High</t>
        </is>
      </c>
      <c r="G145" s="19" t="inlineStr">
        <is>
          <t>재료·연료 투입</t>
        </is>
      </c>
      <c r="H145" s="19" t="inlineStr">
        <is>
          <t>제작이 진행되고 결과물이 나오는지 확인한다</t>
        </is>
      </c>
      <c r="I145" s="19" t="inlineStr">
        <is>
          <t>1. 재료 투입
2. 진행바 관찰</t>
        </is>
      </c>
      <c r="J145" s="19" t="inlineStr">
        <is>
          <t>진행바가 차고 결과물이 출력 슬롯에 생긴다</t>
        </is>
      </c>
      <c r="K145" s="16" t="inlineStr"/>
      <c r="L145" s="17" t="inlineStr"/>
      <c r="M145" s="19" t="inlineStr"/>
      <c r="N145" s="16" t="inlineStr"/>
    </row>
    <row r="146" ht="18.2" customHeight="1">
      <c r="A146" s="18" t="n">
        <v>142</v>
      </c>
      <c r="B146" s="18" t="inlineStr">
        <is>
          <t>공장/건설</t>
        </is>
      </c>
      <c r="C146" s="18" t="inlineStr">
        <is>
          <t>설비</t>
        </is>
      </c>
      <c r="D146" s="18" t="inlineStr">
        <is>
          <t>재료 회수</t>
        </is>
      </c>
      <c r="E146" s="18" t="inlineStr">
        <is>
          <t>기능</t>
        </is>
      </c>
      <c r="F146" s="18" t="inlineStr">
        <is>
          <t>Mid</t>
        </is>
      </c>
      <c r="G146" s="19" t="inlineStr">
        <is>
          <t>재료 투입 상태</t>
        </is>
      </c>
      <c r="H146" s="19" t="inlineStr">
        <is>
          <t>투입 재료를 회수할 수 있는지 확인한다</t>
        </is>
      </c>
      <c r="I146" s="19" t="inlineStr">
        <is>
          <t>1. 회수 버튼</t>
        </is>
      </c>
      <c r="J146" s="19" t="inlineStr">
        <is>
          <t>재료가 인벤토리로 돌아온다</t>
        </is>
      </c>
      <c r="K146" s="16" t="inlineStr"/>
      <c r="L146" s="17" t="inlineStr"/>
      <c r="M146" s="19" t="inlineStr"/>
      <c r="N146" s="16" t="inlineStr"/>
    </row>
    <row r="147" ht="31.4" customHeight="1">
      <c r="A147" s="18" t="n">
        <v>143</v>
      </c>
      <c r="B147" s="18" t="inlineStr">
        <is>
          <t>공장/건설</t>
        </is>
      </c>
      <c r="C147" s="18" t="inlineStr">
        <is>
          <t>설비</t>
        </is>
      </c>
      <c r="D147" s="18" t="inlineStr">
        <is>
          <t>숙련 보상</t>
        </is>
      </c>
      <c r="E147" s="18" t="inlineStr">
        <is>
          <t>데이터</t>
        </is>
      </c>
      <c r="F147" s="18" t="inlineStr">
        <is>
          <t>Mid</t>
        </is>
      </c>
      <c r="G147" s="19" t="inlineStr">
        <is>
          <t>설비 레시피 다수 제작</t>
        </is>
      </c>
      <c r="H147" s="19" t="inlineStr">
        <is>
          <t>설비의 레시피를 모두 마스터하면 보상이 나오는지 확인한다</t>
        </is>
      </c>
      <c r="I147" s="19" t="inlineStr">
        <is>
          <t>1. 그 설비의 레시피를 각 10회 제작
2. 도감 확인</t>
        </is>
      </c>
      <c r="J147" s="19" t="inlineStr">
        <is>
          <t>테이블에 정의된 개수만큼 보상이 지급된다</t>
        </is>
      </c>
      <c r="K147" s="16" t="inlineStr"/>
      <c r="L147" s="17" t="inlineStr"/>
      <c r="M147" s="19" t="inlineStr"/>
      <c r="N147" s="16" t="inlineStr"/>
    </row>
    <row r="148" ht="31.4" customHeight="1">
      <c r="A148" s="18" t="n">
        <v>144</v>
      </c>
      <c r="B148" s="18" t="inlineStr">
        <is>
          <t>공장/건설</t>
        </is>
      </c>
      <c r="C148" s="18" t="inlineStr">
        <is>
          <t>레시피</t>
        </is>
      </c>
      <c r="D148" s="18" t="inlineStr">
        <is>
          <t>자동 선택</t>
        </is>
      </c>
      <c r="E148" s="18" t="inlineStr">
        <is>
          <t>기능</t>
        </is>
      </c>
      <c r="F148" s="15" t="inlineStr">
        <is>
          <t>High</t>
        </is>
      </c>
      <c r="G148" s="19" t="inlineStr">
        <is>
          <t>설비 배치</t>
        </is>
      </c>
      <c r="H148" s="19" t="inlineStr">
        <is>
          <t>벨트로 들어온 재료의 레시피가 잡히는지 확인한다</t>
        </is>
      </c>
      <c r="I148" s="19" t="inlineStr">
        <is>
          <t>1. 벨트로 재료 공급</t>
        </is>
      </c>
      <c r="J148" s="19" t="inlineStr">
        <is>
          <t>해당 재료 레시피로 자동 설정되고 생산이 시작된다</t>
        </is>
      </c>
      <c r="K148" s="16" t="inlineStr"/>
      <c r="L148" s="17" t="inlineStr"/>
      <c r="M148" s="19" t="inlineStr"/>
      <c r="N148" s="16" t="inlineStr"/>
    </row>
    <row r="149" ht="31.4" customHeight="1">
      <c r="A149" s="18" t="n">
        <v>145</v>
      </c>
      <c r="B149" s="18" t="inlineStr">
        <is>
          <t>공장/건설</t>
        </is>
      </c>
      <c r="C149" s="18" t="inlineStr">
        <is>
          <t>레시피</t>
        </is>
      </c>
      <c r="D149" s="18" t="inlineStr">
        <is>
          <t>자동 전환</t>
        </is>
      </c>
      <c r="E149" s="18" t="inlineStr">
        <is>
          <t>상태</t>
        </is>
      </c>
      <c r="F149" s="15" t="inlineStr">
        <is>
          <t>High</t>
        </is>
      </c>
      <c r="G149" s="19" t="inlineStr">
        <is>
          <t>레시피 2종 재료 보유</t>
        </is>
      </c>
      <c r="H149" s="19" t="inlineStr">
        <is>
          <t>재료가 떨어지면 다음 레시피로 넘어가는지 확인한다</t>
        </is>
      </c>
      <c r="I149" s="19" t="inlineStr">
        <is>
          <t>1. A 재료 소진까지 가동</t>
        </is>
      </c>
      <c r="J149" s="19" t="inlineStr">
        <is>
          <t>B 레시피로 전환돼 계속 생산한다</t>
        </is>
      </c>
      <c r="K149" s="16" t="inlineStr"/>
      <c r="L149" s="17" t="inlineStr"/>
      <c r="M149" s="19" t="inlineStr"/>
      <c r="N149" s="16" t="inlineStr"/>
    </row>
    <row r="150" ht="18.2" customHeight="1">
      <c r="A150" s="18" t="n">
        <v>146</v>
      </c>
      <c r="B150" s="18" t="inlineStr">
        <is>
          <t>공장/건설</t>
        </is>
      </c>
      <c r="C150" s="18" t="inlineStr">
        <is>
          <t>레시피</t>
        </is>
      </c>
      <c r="D150" s="18" t="inlineStr">
        <is>
          <t>재료 부족</t>
        </is>
      </c>
      <c r="E150" s="18" t="inlineStr">
        <is>
          <t>경계</t>
        </is>
      </c>
      <c r="F150" s="18" t="inlineStr">
        <is>
          <t>Mid</t>
        </is>
      </c>
      <c r="G150" s="19" t="inlineStr">
        <is>
          <t>재료 일부만</t>
        </is>
      </c>
      <c r="H150" s="19" t="inlineStr">
        <is>
          <t>재료가 모자라면 대기하는지 확인한다</t>
        </is>
      </c>
      <c r="I150" s="19" t="inlineStr">
        <is>
          <t>1. 2개 필요한데 1개만 투입</t>
        </is>
      </c>
      <c r="J150" s="19" t="inlineStr">
        <is>
          <t>생산하지 않고 부족 표시가 나온다</t>
        </is>
      </c>
      <c r="K150" s="16" t="inlineStr"/>
      <c r="L150" s="17" t="inlineStr"/>
      <c r="M150" s="19" t="inlineStr"/>
      <c r="N150" s="16" t="inlineStr"/>
    </row>
    <row r="151" ht="31.4" customHeight="1">
      <c r="A151" s="18" t="n">
        <v>147</v>
      </c>
      <c r="B151" s="18" t="inlineStr">
        <is>
          <t>공장/건설</t>
        </is>
      </c>
      <c r="C151" s="18" t="inlineStr">
        <is>
          <t>레시피</t>
        </is>
      </c>
      <c r="D151" s="18" t="inlineStr">
        <is>
          <t>수량 표시</t>
        </is>
      </c>
      <c r="E151" s="18" t="inlineStr">
        <is>
          <t>데이터</t>
        </is>
      </c>
      <c r="F151" s="18" t="inlineStr">
        <is>
          <t>Mid</t>
        </is>
      </c>
      <c r="G151" s="19" t="inlineStr">
        <is>
          <t>설비 UI</t>
        </is>
      </c>
      <c r="H151" s="19" t="inlineStr">
        <is>
          <t>표시 수량이 실제 보유량과 맞는지 확인한다</t>
        </is>
      </c>
      <c r="I151" s="19" t="inlineStr">
        <is>
          <t>1. 재료 5개 투입
2. 각 레시피 탭 확인</t>
        </is>
      </c>
      <c r="J151" s="19" t="inlineStr">
        <is>
          <t>5/N 으로 정확히 표시된다</t>
        </is>
      </c>
      <c r="K151" s="16" t="inlineStr"/>
      <c r="L151" s="17" t="inlineStr"/>
      <c r="M151" s="19" t="inlineStr"/>
      <c r="N151" s="16" t="inlineStr"/>
    </row>
    <row r="152" ht="31.4" customHeight="1">
      <c r="A152" s="18" t="n">
        <v>148</v>
      </c>
      <c r="B152" s="18" t="inlineStr">
        <is>
          <t>공장/건설</t>
        </is>
      </c>
      <c r="C152" s="18" t="inlineStr">
        <is>
          <t>벨트</t>
        </is>
      </c>
      <c r="D152" s="18" t="inlineStr">
        <is>
          <t>연결</t>
        </is>
      </c>
      <c r="E152" s="18" t="inlineStr">
        <is>
          <t>기능</t>
        </is>
      </c>
      <c r="F152" s="15" t="inlineStr">
        <is>
          <t>High</t>
        </is>
      </c>
      <c r="G152" s="19" t="inlineStr">
        <is>
          <t>설비 2대</t>
        </is>
      </c>
      <c r="H152" s="19" t="inlineStr">
        <is>
          <t>설비 사이에 벨트가 연결되는지 확인한다</t>
        </is>
      </c>
      <c r="I152" s="19" t="inlineStr">
        <is>
          <t>1. A 출력 → B 입력으로 벨트 설치</t>
        </is>
      </c>
      <c r="J152" s="19" t="inlineStr">
        <is>
          <t>벨트가 이어지고 방향 화살표가 표시된다</t>
        </is>
      </c>
      <c r="K152" s="16" t="inlineStr"/>
      <c r="L152" s="17" t="inlineStr"/>
      <c r="M152" s="19" t="inlineStr"/>
      <c r="N152" s="16" t="inlineStr"/>
    </row>
    <row r="153" ht="31.4" customHeight="1">
      <c r="A153" s="18" t="n">
        <v>149</v>
      </c>
      <c r="B153" s="18" t="inlineStr">
        <is>
          <t>공장/건설</t>
        </is>
      </c>
      <c r="C153" s="18" t="inlineStr">
        <is>
          <t>벨트</t>
        </is>
      </c>
      <c r="D153" s="18" t="inlineStr">
        <is>
          <t>아이템 이송</t>
        </is>
      </c>
      <c r="E153" s="18" t="inlineStr">
        <is>
          <t>기능</t>
        </is>
      </c>
      <c r="F153" s="15" t="inlineStr">
        <is>
          <t>High</t>
        </is>
      </c>
      <c r="G153" s="19" t="inlineStr">
        <is>
          <t>벨트 연결</t>
        </is>
      </c>
      <c r="H153" s="19" t="inlineStr">
        <is>
          <t>결과물이 벨트를 타고 다음 설비에 들어가는지 확인한다</t>
        </is>
      </c>
      <c r="I153" s="19" t="inlineStr">
        <is>
          <t>1. A 생산
2. B 재료칸 확인</t>
        </is>
      </c>
      <c r="J153" s="19" t="inlineStr">
        <is>
          <t>A 결과물이 B 재료칸에 들어간다</t>
        </is>
      </c>
      <c r="K153" s="16" t="inlineStr"/>
      <c r="L153" s="17" t="inlineStr"/>
      <c r="M153" s="19" t="inlineStr"/>
      <c r="N153" s="16" t="inlineStr"/>
    </row>
    <row r="154" ht="18.2" customHeight="1">
      <c r="A154" s="18" t="n">
        <v>150</v>
      </c>
      <c r="B154" s="18" t="inlineStr">
        <is>
          <t>공장/건설</t>
        </is>
      </c>
      <c r="C154" s="18" t="inlineStr">
        <is>
          <t>벨트</t>
        </is>
      </c>
      <c r="D154" s="18" t="inlineStr">
        <is>
          <t>입력 막힘 표시</t>
        </is>
      </c>
      <c r="E154" s="18" t="inlineStr">
        <is>
          <t>연출</t>
        </is>
      </c>
      <c r="F154" s="18" t="inlineStr">
        <is>
          <t>Mid</t>
        </is>
      </c>
      <c r="G154" s="19" t="inlineStr">
        <is>
          <t>벨트 잼</t>
        </is>
      </c>
      <c r="H154" s="19" t="inlineStr">
        <is>
          <t>막힌 지점에 표시가 나오는지 확인한다</t>
        </is>
      </c>
      <c r="I154" s="19" t="inlineStr">
        <is>
          <t>1. B 를 못 받게 만든 뒤 A 생산</t>
        </is>
      </c>
      <c r="J154" s="19" t="inlineStr">
        <is>
          <t>B 입구에 금지 표시가 뜬다</t>
        </is>
      </c>
      <c r="K154" s="16" t="inlineStr"/>
      <c r="L154" s="17" t="inlineStr"/>
      <c r="M154" s="19" t="inlineStr"/>
      <c r="N154" s="16" t="inlineStr"/>
    </row>
    <row r="155" ht="31.4" customHeight="1">
      <c r="A155" s="18" t="n">
        <v>151</v>
      </c>
      <c r="B155" s="18" t="inlineStr">
        <is>
          <t>공장/건설</t>
        </is>
      </c>
      <c r="C155" s="18" t="inlineStr">
        <is>
          <t>벨트</t>
        </is>
      </c>
      <c r="D155" s="18" t="inlineStr">
        <is>
          <t>재연결</t>
        </is>
      </c>
      <c r="E155" s="18" t="inlineStr">
        <is>
          <t>기능</t>
        </is>
      </c>
      <c r="F155" s="18" t="inlineStr">
        <is>
          <t>Mid</t>
        </is>
      </c>
      <c r="G155" s="19" t="inlineStr">
        <is>
          <t>벨트 설치</t>
        </is>
      </c>
      <c r="H155" s="19" t="inlineStr">
        <is>
          <t>끊었다 다시 이으면 복구되는지 확인한다</t>
        </is>
      </c>
      <c r="I155" s="19" t="inlineStr">
        <is>
          <t>1. 벨트 일부 철거
2. 재설치</t>
        </is>
      </c>
      <c r="J155" s="19" t="inlineStr">
        <is>
          <t>이송이 재개된다</t>
        </is>
      </c>
      <c r="K155" s="16" t="inlineStr"/>
      <c r="L155" s="17" t="inlineStr"/>
      <c r="M155" s="19" t="inlineStr"/>
      <c r="N155" s="16" t="inlineStr"/>
    </row>
    <row r="156" ht="31.4" customHeight="1">
      <c r="A156" s="18" t="n">
        <v>152</v>
      </c>
      <c r="B156" s="18" t="inlineStr">
        <is>
          <t>공장/건설</t>
        </is>
      </c>
      <c r="C156" s="18" t="inlineStr">
        <is>
          <t>벨트</t>
        </is>
      </c>
      <c r="D156" s="18" t="inlineStr">
        <is>
          <t>저장 복원</t>
        </is>
      </c>
      <c r="E156" s="18" t="inlineStr">
        <is>
          <t>상태</t>
        </is>
      </c>
      <c r="F156" s="15" t="inlineStr">
        <is>
          <t>High</t>
        </is>
      </c>
      <c r="G156" s="19" t="inlineStr">
        <is>
          <t>벨트 위 아이템</t>
        </is>
      </c>
      <c r="H156" s="19" t="inlineStr">
        <is>
          <t>벨트 위 아이템이 저장·복원되는지 확인한다</t>
        </is>
      </c>
      <c r="I156" s="19" t="inlineStr">
        <is>
          <t>1. 벨트에 아이템 흐르는 중 저장
2. 이어하기</t>
        </is>
      </c>
      <c r="J156" s="19" t="inlineStr">
        <is>
          <t>벨트 위 아이템 위치가 유지된다</t>
        </is>
      </c>
      <c r="K156" s="16" t="inlineStr"/>
      <c r="L156" s="17" t="inlineStr"/>
      <c r="M156" s="19" t="inlineStr"/>
      <c r="N156" s="16" t="inlineStr"/>
    </row>
    <row r="157" ht="44.59999999999999" customHeight="1">
      <c r="A157" s="18" t="n">
        <v>153</v>
      </c>
      <c r="B157" s="18" t="inlineStr">
        <is>
          <t>공장/건설</t>
        </is>
      </c>
      <c r="C157" s="18" t="inlineStr">
        <is>
          <t>창고 추출기</t>
        </is>
      </c>
      <c r="D157" s="18" t="inlineStr">
        <is>
          <t>추출</t>
        </is>
      </c>
      <c r="E157" s="18" t="inlineStr">
        <is>
          <t>기능</t>
        </is>
      </c>
      <c r="F157" s="15" t="inlineStr">
        <is>
          <t>High</t>
        </is>
      </c>
      <c r="G157" s="19" t="inlineStr">
        <is>
          <t>창고에 아이템</t>
        </is>
      </c>
      <c r="H157" s="19" t="inlineStr">
        <is>
          <t>추출기가 창고 아이템을 벨트로 내보내는지 확인한다</t>
        </is>
      </c>
      <c r="I157" s="19" t="inlineStr">
        <is>
          <t>1. 추출기 배치
2. 벨트 연결
3. 품목 지정</t>
        </is>
      </c>
      <c r="J157" s="19" t="inlineStr">
        <is>
          <t>창고에서 빠져 벨트로 나온다</t>
        </is>
      </c>
      <c r="K157" s="16" t="inlineStr"/>
      <c r="L157" s="17" t="inlineStr"/>
      <c r="M157" s="19" t="inlineStr"/>
      <c r="N157" s="16" t="inlineStr"/>
    </row>
    <row r="158" ht="44.59999999999999" customHeight="1">
      <c r="A158" s="18" t="n">
        <v>154</v>
      </c>
      <c r="B158" s="18" t="inlineStr">
        <is>
          <t>공장/건설</t>
        </is>
      </c>
      <c r="C158" s="18" t="inlineStr">
        <is>
          <t>코어</t>
        </is>
      </c>
      <c r="D158" s="18" t="inlineStr">
        <is>
          <t>업그레이드</t>
        </is>
      </c>
      <c r="E158" s="18" t="inlineStr">
        <is>
          <t>기능</t>
        </is>
      </c>
      <c r="F158" s="15" t="inlineStr">
        <is>
          <t>High</t>
        </is>
      </c>
      <c r="G158" s="19" t="inlineStr">
        <is>
          <t>코어 키트 보유</t>
        </is>
      </c>
      <c r="H158" s="19" t="inlineStr">
        <is>
          <t>강화가 성공하면 레벨이 오르는지 확인한다</t>
        </is>
      </c>
      <c r="I158" s="19" t="inlineStr">
        <is>
          <t>1. 코어 UI
2. 강화
3. 성공까지 반복</t>
        </is>
      </c>
      <c r="J158" s="19" t="inlineStr">
        <is>
          <t>레벨이 +1 되고 키트가 차감된다</t>
        </is>
      </c>
      <c r="K158" s="16" t="inlineStr"/>
      <c r="L158" s="17" t="inlineStr"/>
      <c r="M158" s="19" t="inlineStr"/>
      <c r="N158" s="16" t="inlineStr"/>
    </row>
    <row r="159" ht="31.4" customHeight="1">
      <c r="A159" s="18" t="n">
        <v>155</v>
      </c>
      <c r="B159" s="18" t="inlineStr">
        <is>
          <t>공장/건설</t>
        </is>
      </c>
      <c r="C159" s="18" t="inlineStr">
        <is>
          <t>코어</t>
        </is>
      </c>
      <c r="D159" s="18" t="inlineStr">
        <is>
          <t>업그레이드 실패</t>
        </is>
      </c>
      <c r="E159" s="18" t="inlineStr">
        <is>
          <t>상태</t>
        </is>
      </c>
      <c r="F159" s="15" t="inlineStr">
        <is>
          <t>High</t>
        </is>
      </c>
      <c r="G159" s="19" t="inlineStr">
        <is>
          <t>코어 키트 다수</t>
        </is>
      </c>
      <c r="H159" s="19" t="inlineStr">
        <is>
          <t>실패 시 레벨과 키트가 어떻게 되는지 확인한다</t>
        </is>
      </c>
      <c r="I159" s="19" t="inlineStr">
        <is>
          <t>1. 성공률 낮은 단계에서 강화
2. 실패 시 레벨·키트 확인</t>
        </is>
      </c>
      <c r="J159" s="19" t="inlineStr">
        <is>
          <t>레벨은 그대로이고 키트는 소모된다</t>
        </is>
      </c>
      <c r="K159" s="16" t="inlineStr"/>
      <c r="L159" s="17" t="inlineStr"/>
      <c r="M159" s="19" t="inlineStr"/>
      <c r="N159" s="16" t="inlineStr"/>
    </row>
    <row r="160" ht="31.4" customHeight="1">
      <c r="A160" s="18" t="n">
        <v>156</v>
      </c>
      <c r="B160" s="18" t="inlineStr">
        <is>
          <t>공장/건설</t>
        </is>
      </c>
      <c r="C160" s="18" t="inlineStr">
        <is>
          <t>코어</t>
        </is>
      </c>
      <c r="D160" s="18" t="inlineStr">
        <is>
          <t>최대 시간 증가</t>
        </is>
      </c>
      <c r="E160" s="18" t="inlineStr">
        <is>
          <t>데이터</t>
        </is>
      </c>
      <c r="F160" s="15" t="inlineStr">
        <is>
          <t>High</t>
        </is>
      </c>
      <c r="G160" s="19" t="inlineStr">
        <is>
          <t>강화 성공</t>
        </is>
      </c>
      <c r="H160" s="19" t="inlineStr">
        <is>
          <t>레벨업이 최대 시간에 반영되는지 확인한다</t>
        </is>
      </c>
      <c r="I160" s="19" t="inlineStr">
        <is>
          <t>1. 강화 전 최대 시간 기록
2. 성공 후 재확인</t>
        </is>
      </c>
      <c r="J160" s="19" t="inlineStr">
        <is>
          <t>테이블의 해당 레벨 값(Lv1 130, Lv2 160 …)으로 오른다</t>
        </is>
      </c>
      <c r="K160" s="16" t="inlineStr"/>
      <c r="L160" s="17" t="inlineStr"/>
      <c r="M160" s="19" t="inlineStr"/>
      <c r="N160" s="16" t="inlineStr"/>
    </row>
    <row r="161" ht="44.59999999999999" customHeight="1">
      <c r="A161" s="18" t="n">
        <v>157</v>
      </c>
      <c r="B161" s="18" t="inlineStr">
        <is>
          <t>공장/건설</t>
        </is>
      </c>
      <c r="C161" s="18" t="inlineStr">
        <is>
          <t>코어</t>
        </is>
      </c>
      <c r="D161" s="18" t="inlineStr">
        <is>
          <t>타임 캐치</t>
        </is>
      </c>
      <c r="E161" s="18" t="inlineStr">
        <is>
          <t>데이터</t>
        </is>
      </c>
      <c r="F161" s="15" t="inlineStr">
        <is>
          <t>High</t>
        </is>
      </c>
      <c r="G161" s="19" t="inlineStr">
        <is>
          <t>코어 UI</t>
        </is>
      </c>
      <c r="H161" s="19" t="inlineStr">
        <is>
          <t>타임 캐치 판정이 성공률에 더해지는지 확인한다</t>
        </is>
      </c>
      <c r="I161" s="19" t="inlineStr">
        <is>
          <t>1. 퍼펙트존에 정지
2. 굿존에 정지
3. 미정지 6초</t>
        </is>
      </c>
      <c r="J161" s="19" t="inlineStr">
        <is>
          <t>+20%p / +8%p / 0 으로 표시 성공률이 바뀐다</t>
        </is>
      </c>
      <c r="K161" s="16" t="inlineStr"/>
      <c r="L161" s="17" t="inlineStr"/>
      <c r="M161" s="19" t="inlineStr"/>
      <c r="N161" s="16" t="inlineStr"/>
    </row>
    <row r="162" ht="18.2" customHeight="1">
      <c r="A162" s="18" t="n">
        <v>158</v>
      </c>
      <c r="B162" s="18" t="inlineStr">
        <is>
          <t>공장/건설</t>
        </is>
      </c>
      <c r="C162" s="18" t="inlineStr">
        <is>
          <t>코어</t>
        </is>
      </c>
      <c r="D162" s="18" t="inlineStr">
        <is>
          <t>키트 등급 요구</t>
        </is>
      </c>
      <c r="E162" s="18" t="inlineStr">
        <is>
          <t>데이터</t>
        </is>
      </c>
      <c r="F162" s="18" t="inlineStr">
        <is>
          <t>Mid</t>
        </is>
      </c>
      <c r="G162" s="19" t="inlineStr">
        <is>
          <t>여러 등급 키트</t>
        </is>
      </c>
      <c r="H162" s="19" t="inlineStr">
        <is>
          <t>단계별 요구 키트가 다른지 확인한다</t>
        </is>
      </c>
      <c r="I162" s="19" t="inlineStr">
        <is>
          <t>1. 각 단계 요구 키트 확인</t>
        </is>
      </c>
      <c r="J162" s="19" t="inlineStr">
        <is>
          <t>Lv1~2 키트I, Lv3~4 키트II … 로 표시된다</t>
        </is>
      </c>
      <c r="K162" s="16" t="inlineStr"/>
      <c r="L162" s="17" t="inlineStr"/>
      <c r="M162" s="19" t="inlineStr"/>
      <c r="N162" s="16" t="inlineStr"/>
    </row>
    <row r="163" ht="44.59999999999999" customHeight="1">
      <c r="A163" s="18" t="n">
        <v>159</v>
      </c>
      <c r="B163" s="18" t="inlineStr">
        <is>
          <t>공장/건설</t>
        </is>
      </c>
      <c r="C163" s="18" t="inlineStr">
        <is>
          <t>제작</t>
        </is>
      </c>
      <c r="D163" s="18" t="inlineStr">
        <is>
          <t>생체 추출기</t>
        </is>
      </c>
      <c r="E163" s="18" t="inlineStr">
        <is>
          <t>데이터</t>
        </is>
      </c>
      <c r="F163" s="15" t="inlineStr">
        <is>
          <t>High</t>
        </is>
      </c>
      <c r="G163" s="19" t="inlineStr">
        <is>
          <t>설비 배치·연료 투입·재료 보유</t>
        </is>
      </c>
      <c r="H163" s="19" t="inlineStr">
        <is>
          <t>생체 추출기의 레시피 5종이 모두 정의대로 제작되는지 확인한다</t>
        </is>
      </c>
      <c r="I163" s="19" t="inlineStr">
        <is>
          <t>1. 레시피를 하나씩 선택해 재료를 투입
2. 결과물 종류와 수량을 확인
3. 그 설비의 레시피를 모두 반복</t>
        </is>
      </c>
      <c r="J163" s="19" t="inlineStr">
        <is>
          <t>모든 레시피가 정의된 결과물과 수량으로 제작된다</t>
        </is>
      </c>
      <c r="K163" s="16" t="inlineStr"/>
      <c r="L163" s="17" t="inlineStr"/>
      <c r="M163" s="19" t="inlineStr"/>
      <c r="N163" s="16" t="inlineStr"/>
    </row>
    <row r="164" ht="44.59999999999999" customHeight="1">
      <c r="A164" s="18" t="n">
        <v>160</v>
      </c>
      <c r="B164" s="18" t="inlineStr">
        <is>
          <t>공장/건설</t>
        </is>
      </c>
      <c r="C164" s="18" t="inlineStr">
        <is>
          <t>제작</t>
        </is>
      </c>
      <c r="D164" s="18" t="inlineStr">
        <is>
          <t>생체 배양기</t>
        </is>
      </c>
      <c r="E164" s="18" t="inlineStr">
        <is>
          <t>데이터</t>
        </is>
      </c>
      <c r="F164" s="15" t="inlineStr">
        <is>
          <t>High</t>
        </is>
      </c>
      <c r="G164" s="19" t="inlineStr">
        <is>
          <t>설비 배치·연료 투입·재료 보유</t>
        </is>
      </c>
      <c r="H164" s="19" t="inlineStr">
        <is>
          <t>생체 배양기의 레시피 12종이 모두 정의대로 제작되는지 확인한다</t>
        </is>
      </c>
      <c r="I164" s="19" t="inlineStr">
        <is>
          <t>1. 레시피를 하나씩 선택해 재료를 투입
2. 결과물 종류와 수량을 확인
3. 그 설비의 레시피를 모두 반복</t>
        </is>
      </c>
      <c r="J164" s="19" t="inlineStr">
        <is>
          <t>모든 레시피가 정의된 결과물과 수량으로 제작된다</t>
        </is>
      </c>
      <c r="K164" s="16" t="inlineStr"/>
      <c r="L164" s="17" t="inlineStr"/>
      <c r="M164" s="19" t="inlineStr"/>
      <c r="N164" s="16" t="inlineStr"/>
    </row>
    <row r="165" ht="44.59999999999999" customHeight="1">
      <c r="A165" s="18" t="n">
        <v>161</v>
      </c>
      <c r="B165" s="18" t="inlineStr">
        <is>
          <t>공장/건설</t>
        </is>
      </c>
      <c r="C165" s="18" t="inlineStr">
        <is>
          <t>제작</t>
        </is>
      </c>
      <c r="D165" s="18" t="inlineStr">
        <is>
          <t>시간에너지 합성기</t>
        </is>
      </c>
      <c r="E165" s="18" t="inlineStr">
        <is>
          <t>데이터</t>
        </is>
      </c>
      <c r="F165" s="15" t="inlineStr">
        <is>
          <t>High</t>
        </is>
      </c>
      <c r="G165" s="19" t="inlineStr">
        <is>
          <t>설비 배치·연료 투입·재료 보유</t>
        </is>
      </c>
      <c r="H165" s="19" t="inlineStr">
        <is>
          <t>시간에너지 합성기의 레시피 8종이 모두 정의대로 제작되는지 확인한다</t>
        </is>
      </c>
      <c r="I165" s="19" t="inlineStr">
        <is>
          <t>1. 레시피를 하나씩 선택해 재료를 투입
2. 결과물 종류와 수량을 확인
3. 그 설비의 레시피를 모두 반복</t>
        </is>
      </c>
      <c r="J165" s="19" t="inlineStr">
        <is>
          <t>모든 레시피가 정의된 결과물과 수량으로 제작된다</t>
        </is>
      </c>
      <c r="K165" s="16" t="inlineStr"/>
      <c r="L165" s="17" t="inlineStr"/>
      <c r="M165" s="19" t="inlineStr"/>
      <c r="N165" s="16" t="inlineStr"/>
    </row>
    <row r="166" ht="44.59999999999999" customHeight="1">
      <c r="A166" s="18" t="n">
        <v>162</v>
      </c>
      <c r="B166" s="18" t="inlineStr">
        <is>
          <t>공장/건설</t>
        </is>
      </c>
      <c r="C166" s="18" t="inlineStr">
        <is>
          <t>제작</t>
        </is>
      </c>
      <c r="D166" s="18" t="inlineStr">
        <is>
          <t>생체 분리기</t>
        </is>
      </c>
      <c r="E166" s="18" t="inlineStr">
        <is>
          <t>데이터</t>
        </is>
      </c>
      <c r="F166" s="15" t="inlineStr">
        <is>
          <t>High</t>
        </is>
      </c>
      <c r="G166" s="19" t="inlineStr">
        <is>
          <t>설비 배치·연료 투입·재료 보유</t>
        </is>
      </c>
      <c r="H166" s="19" t="inlineStr">
        <is>
          <t>생체 분리기의 레시피 6종이 모두 정의대로 제작되는지 확인한다</t>
        </is>
      </c>
      <c r="I166" s="19" t="inlineStr">
        <is>
          <t>1. 레시피를 하나씩 선택해 재료를 투입
2. 결과물 종류와 수량을 확인
3. 그 설비의 레시피를 모두 반복</t>
        </is>
      </c>
      <c r="J166" s="19" t="inlineStr">
        <is>
          <t>모든 레시피가 정의된 결과물과 수량으로 제작된다</t>
        </is>
      </c>
      <c r="K166" s="16" t="inlineStr"/>
      <c r="L166" s="17" t="inlineStr"/>
      <c r="M166" s="19" t="inlineStr"/>
      <c r="N166" s="16" t="inlineStr"/>
    </row>
    <row r="167" ht="44.59999999999999" customHeight="1">
      <c r="A167" s="18" t="n">
        <v>163</v>
      </c>
      <c r="B167" s="18" t="inlineStr">
        <is>
          <t>공장/건설</t>
        </is>
      </c>
      <c r="C167" s="18" t="inlineStr">
        <is>
          <t>제작</t>
        </is>
      </c>
      <c r="D167" s="18" t="inlineStr">
        <is>
          <t>에너지 변환기</t>
        </is>
      </c>
      <c r="E167" s="18" t="inlineStr">
        <is>
          <t>데이터</t>
        </is>
      </c>
      <c r="F167" s="15" t="inlineStr">
        <is>
          <t>High</t>
        </is>
      </c>
      <c r="G167" s="19" t="inlineStr">
        <is>
          <t>설비 배치·연료 투입·재료 보유</t>
        </is>
      </c>
      <c r="H167" s="19" t="inlineStr">
        <is>
          <t>에너지 변환기의 레시피 6종이 모두 정의대로 제작되는지 확인한다</t>
        </is>
      </c>
      <c r="I167" s="19" t="inlineStr">
        <is>
          <t>1. 레시피를 하나씩 선택해 재료를 투입
2. 결과물 종류와 수량을 확인
3. 그 설비의 레시피를 모두 반복</t>
        </is>
      </c>
      <c r="J167" s="19" t="inlineStr">
        <is>
          <t>모든 레시피가 정의된 결과물과 수량으로 제작된다</t>
        </is>
      </c>
      <c r="K167" s="16" t="inlineStr"/>
      <c r="L167" s="17" t="inlineStr"/>
      <c r="M167" s="19" t="inlineStr"/>
      <c r="N167" s="16" t="inlineStr"/>
    </row>
    <row r="168" ht="44.59999999999999" customHeight="1">
      <c r="A168" s="18" t="n">
        <v>164</v>
      </c>
      <c r="B168" s="18" t="inlineStr">
        <is>
          <t>공장/건설</t>
        </is>
      </c>
      <c r="C168" s="18" t="inlineStr">
        <is>
          <t>제작</t>
        </is>
      </c>
      <c r="D168" s="18" t="inlineStr">
        <is>
          <t>용해로</t>
        </is>
      </c>
      <c r="E168" s="18" t="inlineStr">
        <is>
          <t>데이터</t>
        </is>
      </c>
      <c r="F168" s="15" t="inlineStr">
        <is>
          <t>High</t>
        </is>
      </c>
      <c r="G168" s="19" t="inlineStr">
        <is>
          <t>설비 배치·연료 투입·재료 보유</t>
        </is>
      </c>
      <c r="H168" s="19" t="inlineStr">
        <is>
          <t>용해로의 레시피 4종이 모두 정의대로 제작되는지 확인한다</t>
        </is>
      </c>
      <c r="I168" s="19" t="inlineStr">
        <is>
          <t>1. 레시피를 하나씩 선택해 재료를 투입
2. 결과물 종류와 수량을 확인
3. 그 설비의 레시피를 모두 반복</t>
        </is>
      </c>
      <c r="J168" s="19" t="inlineStr">
        <is>
          <t>모든 레시피가 정의된 결과물과 수량으로 제작된다</t>
        </is>
      </c>
      <c r="K168" s="16" t="inlineStr"/>
      <c r="L168" s="17" t="inlineStr"/>
      <c r="M168" s="19" t="inlineStr"/>
      <c r="N168" s="16" t="inlineStr"/>
    </row>
    <row r="169" ht="44.59999999999999" customHeight="1">
      <c r="A169" s="18" t="n">
        <v>165</v>
      </c>
      <c r="B169" s="18" t="inlineStr">
        <is>
          <t>공장/건설</t>
        </is>
      </c>
      <c r="C169" s="18" t="inlineStr">
        <is>
          <t>제작</t>
        </is>
      </c>
      <c r="D169" s="18" t="inlineStr">
        <is>
          <t>코어 합성기</t>
        </is>
      </c>
      <c r="E169" s="18" t="inlineStr">
        <is>
          <t>데이터</t>
        </is>
      </c>
      <c r="F169" s="15" t="inlineStr">
        <is>
          <t>High</t>
        </is>
      </c>
      <c r="G169" s="19" t="inlineStr">
        <is>
          <t>설비 배치·연료 투입·재료 보유</t>
        </is>
      </c>
      <c r="H169" s="19" t="inlineStr">
        <is>
          <t>코어 합성기의 레시피 6종이 모두 정의대로 제작되는지 확인한다</t>
        </is>
      </c>
      <c r="I169" s="19" t="inlineStr">
        <is>
          <t>1. 레시피를 하나씩 선택해 재료를 투입
2. 결과물 종류와 수량을 확인
3. 그 설비의 레시피를 모두 반복</t>
        </is>
      </c>
      <c r="J169" s="19" t="inlineStr">
        <is>
          <t>모든 레시피가 정의된 결과물과 수량으로 제작된다</t>
        </is>
      </c>
      <c r="K169" s="16" t="inlineStr"/>
      <c r="L169" s="17" t="inlineStr"/>
      <c r="M169" s="19" t="inlineStr"/>
      <c r="N169" s="16" t="inlineStr"/>
    </row>
    <row r="170" ht="44.59999999999999" customHeight="1">
      <c r="A170" s="18" t="n">
        <v>166</v>
      </c>
      <c r="B170" s="18" t="inlineStr">
        <is>
          <t>공장/건설</t>
        </is>
      </c>
      <c r="C170" s="18" t="inlineStr">
        <is>
          <t>제작</t>
        </is>
      </c>
      <c r="D170" s="18" t="inlineStr">
        <is>
          <t>연마기</t>
        </is>
      </c>
      <c r="E170" s="18" t="inlineStr">
        <is>
          <t>데이터</t>
        </is>
      </c>
      <c r="F170" s="15" t="inlineStr">
        <is>
          <t>High</t>
        </is>
      </c>
      <c r="G170" s="19" t="inlineStr">
        <is>
          <t>설비 배치·연료 투입·재료 보유</t>
        </is>
      </c>
      <c r="H170" s="19" t="inlineStr">
        <is>
          <t>연마기의 레시피가 정의대로 제작되는지 확인한다</t>
        </is>
      </c>
      <c r="I170" s="19" t="inlineStr">
        <is>
          <t>1. 레시피를 하나씩 선택해 재료를 투입
2. 결과물 종류와 수량을 확인
3. 그 설비의 레시피를 모두 반복</t>
        </is>
      </c>
      <c r="J170" s="19" t="inlineStr">
        <is>
          <t>모든 레시피가 정의된 결과물과 수량으로 제작된다</t>
        </is>
      </c>
      <c r="K170" s="16" t="inlineStr"/>
      <c r="L170" s="17" t="inlineStr"/>
      <c r="M170" s="19" t="inlineStr"/>
      <c r="N170" s="16" t="inlineStr"/>
    </row>
    <row r="171" ht="31.4" customHeight="1">
      <c r="A171" s="18" t="n">
        <v>167</v>
      </c>
      <c r="B171" s="18" t="inlineStr">
        <is>
          <t>공장/건설</t>
        </is>
      </c>
      <c r="C171" s="18" t="inlineStr">
        <is>
          <t>제작</t>
        </is>
      </c>
      <c r="D171" s="18" t="inlineStr">
        <is>
          <t>가공 체인</t>
        </is>
      </c>
      <c r="E171" s="18" t="inlineStr">
        <is>
          <t>기능</t>
        </is>
      </c>
      <c r="F171" s="15" t="inlineStr">
        <is>
          <t>High</t>
        </is>
      </c>
      <c r="G171" s="19" t="inlineStr">
        <is>
          <t>추출기·배양기 연결</t>
        </is>
      </c>
      <c r="H171" s="19" t="inlineStr">
        <is>
          <t>여러 설비를 거치는 제작이 이어지는지 확인한다</t>
        </is>
      </c>
      <c r="I171" s="19" t="inlineStr">
        <is>
          <t>1. 원재료 투입
2. 추출기 → 배양기 순으로 진행</t>
        </is>
      </c>
      <c r="J171" s="19" t="inlineStr">
        <is>
          <t>원재료에서 앰플까지 끊김 없이 이어진다</t>
        </is>
      </c>
      <c r="K171" s="16" t="inlineStr"/>
      <c r="L171" s="17" t="inlineStr"/>
      <c r="M171" s="19" t="inlineStr"/>
      <c r="N171" s="16" t="inlineStr"/>
    </row>
    <row r="172" ht="31.4" customHeight="1">
      <c r="A172" s="18" t="n">
        <v>168</v>
      </c>
      <c r="B172" s="18" t="inlineStr">
        <is>
          <t>공장/건설</t>
        </is>
      </c>
      <c r="C172" s="18" t="inlineStr">
        <is>
          <t>제작</t>
        </is>
      </c>
      <c r="D172" s="18" t="inlineStr">
        <is>
          <t>코어 키트 승급</t>
        </is>
      </c>
      <c r="E172" s="18" t="inlineStr">
        <is>
          <t>상태</t>
        </is>
      </c>
      <c r="F172" s="15" t="inlineStr">
        <is>
          <t>High</t>
        </is>
      </c>
      <c r="G172" s="19" t="inlineStr">
        <is>
          <t>코어 합성기 가동</t>
        </is>
      </c>
      <c r="H172" s="19" t="inlineStr">
        <is>
          <t>키트가 단계별로 올라가는지 확인한다</t>
        </is>
      </c>
      <c r="I172" s="19" t="inlineStr">
        <is>
          <t>1. 키트 I 제작
2. 상위 키트를 순서대로 제작</t>
        </is>
      </c>
      <c r="J172" s="19" t="inlineStr">
        <is>
          <t>I 에서 V 까지 순서대로 제작된다</t>
        </is>
      </c>
      <c r="K172" s="16" t="inlineStr"/>
      <c r="L172" s="17" t="inlineStr"/>
      <c r="M172" s="19" t="inlineStr"/>
      <c r="N172" s="16" t="inlineStr"/>
    </row>
    <row r="173" ht="44.59999999999999" customHeight="1">
      <c r="A173" s="18" t="n">
        <v>169</v>
      </c>
      <c r="B173" s="18" t="inlineStr">
        <is>
          <t>공장/건설</t>
        </is>
      </c>
      <c r="C173" s="18" t="inlineStr">
        <is>
          <t>제작</t>
        </is>
      </c>
      <c r="D173" s="18" t="inlineStr">
        <is>
          <t>자원 배증</t>
        </is>
      </c>
      <c r="E173" s="18" t="inlineStr">
        <is>
          <t>데이터</t>
        </is>
      </c>
      <c r="F173" s="15" t="inlineStr">
        <is>
          <t>High</t>
        </is>
      </c>
      <c r="G173" s="19" t="inlineStr">
        <is>
          <t>분리기·변환기 연결</t>
        </is>
      </c>
      <c r="H173" s="19" t="inlineStr">
        <is>
          <t>분리기와 변환기를 이었을 때 자원 증감을 확인한다</t>
        </is>
      </c>
      <c r="I173" s="19" t="inlineStr">
        <is>
          <t>1. 분리기 → 변환기로 벨트 연결
2. 원재료 1종을 넣고 장시간 가동
3. 총량 기록</t>
        </is>
      </c>
      <c r="J173" s="19" t="inlineStr">
        <is>
          <t>자원 총량이 기획 의도대로 변한다</t>
        </is>
      </c>
      <c r="K173" s="16" t="inlineStr"/>
      <c r="L173" s="17" t="inlineStr"/>
      <c r="M173" s="19" t="inlineStr">
        <is>
          <t>확인 대기 - 6초당 2배 순증 구조</t>
        </is>
      </c>
      <c r="N173" s="16" t="inlineStr"/>
    </row>
    <row r="174" ht="31.4" customHeight="1">
      <c r="A174" s="18" t="n">
        <v>170</v>
      </c>
      <c r="B174" s="18" t="inlineStr">
        <is>
          <t>공장/건설</t>
        </is>
      </c>
      <c r="C174" s="18" t="inlineStr">
        <is>
          <t>제작</t>
        </is>
      </c>
      <c r="D174" s="18" t="inlineStr">
        <is>
          <t>제작 시간</t>
        </is>
      </c>
      <c r="E174" s="18" t="inlineStr">
        <is>
          <t>데이터</t>
        </is>
      </c>
      <c r="F174" s="18" t="inlineStr">
        <is>
          <t>Mid</t>
        </is>
      </c>
      <c r="G174" s="19" t="inlineStr">
        <is>
          <t>설비 가동</t>
        </is>
      </c>
      <c r="H174" s="19" t="inlineStr">
        <is>
          <t>레시피별 제작 시간이 테이블과 맞는지 확인한다</t>
        </is>
      </c>
      <c r="I174" s="19" t="inlineStr">
        <is>
          <t>1. 2초·6초·10초 레시피 각각 가동
2. 소요 시간 측정</t>
        </is>
      </c>
      <c r="J174" s="19" t="inlineStr">
        <is>
          <t>테이블 값과 일치한다</t>
        </is>
      </c>
      <c r="K174" s="16" t="inlineStr"/>
      <c r="L174" s="17" t="inlineStr"/>
      <c r="M174" s="19" t="inlineStr"/>
      <c r="N174" s="16" t="inlineStr"/>
    </row>
    <row r="175" ht="31.4" customHeight="1">
      <c r="A175" s="14" t="n">
        <v>171</v>
      </c>
      <c r="B175" s="14" t="inlineStr">
        <is>
          <t>기믹/퍼즐</t>
        </is>
      </c>
      <c r="C175" s="14" t="inlineStr">
        <is>
          <t>스위치</t>
        </is>
      </c>
      <c r="D175" s="14" t="inlineStr">
        <is>
          <t>버튼</t>
        </is>
      </c>
      <c r="E175" s="14" t="inlineStr">
        <is>
          <t>기능</t>
        </is>
      </c>
      <c r="F175" s="15" t="inlineStr">
        <is>
          <t>High</t>
        </is>
      </c>
      <c r="G175" s="3" t="inlineStr">
        <is>
          <t>기믹 지역</t>
        </is>
      </c>
      <c r="H175" s="3" t="inlineStr">
        <is>
          <t>버튼을 누르면 대상이 반응하는지 확인한다</t>
        </is>
      </c>
      <c r="I175" s="3" t="inlineStr">
        <is>
          <t>1. 버튼 F</t>
        </is>
      </c>
      <c r="J175" s="3" t="inlineStr">
        <is>
          <t>버튼이 눌리고 연결된 문·장치가 작동한다</t>
        </is>
      </c>
      <c r="K175" s="16" t="inlineStr"/>
      <c r="L175" s="17" t="inlineStr"/>
      <c r="M175" s="3" t="inlineStr"/>
      <c r="N175" s="16" t="inlineStr"/>
    </row>
    <row r="176" ht="18.2" customHeight="1">
      <c r="A176" s="14" t="n">
        <v>172</v>
      </c>
      <c r="B176" s="14" t="inlineStr">
        <is>
          <t>기믹/퍼즐</t>
        </is>
      </c>
      <c r="C176" s="14" t="inlineStr">
        <is>
          <t>스위치</t>
        </is>
      </c>
      <c r="D176" s="14" t="inlineStr">
        <is>
          <t>압력판</t>
        </is>
      </c>
      <c r="E176" s="14" t="inlineStr">
        <is>
          <t>기능</t>
        </is>
      </c>
      <c r="F176" s="15" t="inlineStr">
        <is>
          <t>High</t>
        </is>
      </c>
      <c r="G176" s="3" t="inlineStr">
        <is>
          <t>압력판 앞</t>
        </is>
      </c>
      <c r="H176" s="3" t="inlineStr">
        <is>
          <t>밟으면 작동하는지 확인한다</t>
        </is>
      </c>
      <c r="I176" s="3" t="inlineStr">
        <is>
          <t>1. 압력판 위로 이동</t>
        </is>
      </c>
      <c r="J176" s="3" t="inlineStr">
        <is>
          <t>판이 내려가고 연결 대상이 작동한다</t>
        </is>
      </c>
      <c r="K176" s="16" t="inlineStr"/>
      <c r="L176" s="17" t="inlineStr"/>
      <c r="M176" s="3" t="inlineStr"/>
      <c r="N176" s="16" t="inlineStr"/>
    </row>
    <row r="177" ht="18.2" customHeight="1">
      <c r="A177" s="14" t="n">
        <v>173</v>
      </c>
      <c r="B177" s="14" t="inlineStr">
        <is>
          <t>기믹/퍼즐</t>
        </is>
      </c>
      <c r="C177" s="14" t="inlineStr">
        <is>
          <t>스위치</t>
        </is>
      </c>
      <c r="D177" s="14" t="inlineStr">
        <is>
          <t>압력판 해제</t>
        </is>
      </c>
      <c r="E177" s="14" t="inlineStr">
        <is>
          <t>상태</t>
        </is>
      </c>
      <c r="F177" s="14" t="inlineStr">
        <is>
          <t>Mid</t>
        </is>
      </c>
      <c r="G177" s="3" t="inlineStr">
        <is>
          <t>압력판 위</t>
        </is>
      </c>
      <c r="H177" s="3" t="inlineStr">
        <is>
          <t>내려오면 원상복구되는지 확인한다</t>
        </is>
      </c>
      <c r="I177" s="3" t="inlineStr">
        <is>
          <t>1. 압력판에서 벗어난다</t>
        </is>
      </c>
      <c r="J177" s="3" t="inlineStr">
        <is>
          <t>판이 올라오고 대상이 원래대로 돌아간다</t>
        </is>
      </c>
      <c r="K177" s="16" t="inlineStr"/>
      <c r="L177" s="17" t="inlineStr"/>
      <c r="M177" s="3" t="inlineStr"/>
      <c r="N177" s="16" t="inlineStr"/>
    </row>
    <row r="178" ht="31.4" customHeight="1">
      <c r="A178" s="14" t="n">
        <v>174</v>
      </c>
      <c r="B178" s="14" t="inlineStr">
        <is>
          <t>기믹/퍼즐</t>
        </is>
      </c>
      <c r="C178" s="14" t="inlineStr">
        <is>
          <t>스위치</t>
        </is>
      </c>
      <c r="D178" s="14" t="inlineStr">
        <is>
          <t>순서 퍼즐</t>
        </is>
      </c>
      <c r="E178" s="14" t="inlineStr">
        <is>
          <t>기능</t>
        </is>
      </c>
      <c r="F178" s="15" t="inlineStr">
        <is>
          <t>High</t>
        </is>
      </c>
      <c r="G178" s="3" t="inlineStr">
        <is>
          <t>순서 퍼즐 지역</t>
        </is>
      </c>
      <c r="H178" s="3" t="inlineStr">
        <is>
          <t>정해진 순서로만 풀리는지 확인한다</t>
        </is>
      </c>
      <c r="I178" s="3" t="inlineStr">
        <is>
          <t>1. 정답 순서로 입력
2. 틀린 순서로 입력</t>
        </is>
      </c>
      <c r="J178" s="3" t="inlineStr">
        <is>
          <t>정답에만 열리고 틀리면 초기화된다</t>
        </is>
      </c>
      <c r="K178" s="16" t="inlineStr"/>
      <c r="L178" s="17" t="inlineStr"/>
      <c r="M178" s="3" t="inlineStr"/>
      <c r="N178" s="16" t="inlineStr"/>
    </row>
    <row r="179" ht="18.2" customHeight="1">
      <c r="A179" s="14" t="n">
        <v>175</v>
      </c>
      <c r="B179" s="14" t="inlineStr">
        <is>
          <t>기믹/퍼즐</t>
        </is>
      </c>
      <c r="C179" s="14" t="inlineStr">
        <is>
          <t>스위치</t>
        </is>
      </c>
      <c r="D179" s="14" t="inlineStr">
        <is>
          <t>열쇠 자물쇠</t>
        </is>
      </c>
      <c r="E179" s="14" t="inlineStr">
        <is>
          <t>기능</t>
        </is>
      </c>
      <c r="F179" s="15" t="inlineStr">
        <is>
          <t>High</t>
        </is>
      </c>
      <c r="G179" s="3" t="inlineStr">
        <is>
          <t>열쇠 보유</t>
        </is>
      </c>
      <c r="H179" s="3" t="inlineStr">
        <is>
          <t>열쇠로 자물쇠가 열리는지 확인한다</t>
        </is>
      </c>
      <c r="I179" s="3" t="inlineStr">
        <is>
          <t>1. 자물쇠에 F</t>
        </is>
      </c>
      <c r="J179" s="3" t="inlineStr">
        <is>
          <t>열쇠가 소모되고 문이 열린다</t>
        </is>
      </c>
      <c r="K179" s="16" t="inlineStr"/>
      <c r="L179" s="17" t="inlineStr"/>
      <c r="M179" s="3" t="inlineStr"/>
      <c r="N179" s="16" t="inlineStr"/>
    </row>
    <row r="180" ht="31.4" customHeight="1">
      <c r="A180" s="14" t="n">
        <v>176</v>
      </c>
      <c r="B180" s="14" t="inlineStr">
        <is>
          <t>기믹/퍼즐</t>
        </is>
      </c>
      <c r="C180" s="14" t="inlineStr">
        <is>
          <t>에너지</t>
        </is>
      </c>
      <c r="D180" s="14" t="inlineStr">
        <is>
          <t>노드 연결</t>
        </is>
      </c>
      <c r="E180" s="14" t="inlineStr">
        <is>
          <t>기능</t>
        </is>
      </c>
      <c r="F180" s="15" t="inlineStr">
        <is>
          <t>High</t>
        </is>
      </c>
      <c r="G180" s="3" t="inlineStr">
        <is>
          <t>에너지 노드 지역</t>
        </is>
      </c>
      <c r="H180" s="3" t="inlineStr">
        <is>
          <t>노드를 이으면 에너지가 흐르는지 확인한다</t>
        </is>
      </c>
      <c r="I180" s="3" t="inlineStr">
        <is>
          <t>1. 노드를 순서대로 활성화</t>
        </is>
      </c>
      <c r="J180" s="3" t="inlineStr">
        <is>
          <t>연결선이 켜지고 종점 장치가 작동한다</t>
        </is>
      </c>
      <c r="K180" s="16" t="inlineStr"/>
      <c r="L180" s="17" t="inlineStr"/>
      <c r="M180" s="3" t="inlineStr"/>
      <c r="N180" s="16" t="inlineStr"/>
    </row>
    <row r="181" ht="31.4" customHeight="1">
      <c r="A181" s="14" t="n">
        <v>177</v>
      </c>
      <c r="B181" s="14" t="inlineStr">
        <is>
          <t>기믹/퍼즐</t>
        </is>
      </c>
      <c r="C181" s="14" t="inlineStr">
        <is>
          <t>에너지</t>
        </is>
      </c>
      <c r="D181" s="14" t="inlineStr">
        <is>
          <t>레이저 결계</t>
        </is>
      </c>
      <c r="E181" s="14" t="inlineStr">
        <is>
          <t>기능</t>
        </is>
      </c>
      <c r="F181" s="15" t="inlineStr">
        <is>
          <t>High</t>
        </is>
      </c>
      <c r="G181" s="3" t="inlineStr">
        <is>
          <t>레이저 결계 앞</t>
        </is>
      </c>
      <c r="H181" s="3" t="inlineStr">
        <is>
          <t>결계가 막고 해제되면 통과되는지 확인한다</t>
        </is>
      </c>
      <c r="I181" s="3" t="inlineStr">
        <is>
          <t>1. 결계 진입 시도
2. 해제 후 재시도</t>
        </is>
      </c>
      <c r="J181" s="3" t="inlineStr">
        <is>
          <t>해제 전엔 막히고 해제 후 통과된다</t>
        </is>
      </c>
      <c r="K181" s="16" t="inlineStr"/>
      <c r="L181" s="17" t="inlineStr"/>
      <c r="M181" s="3" t="inlineStr"/>
      <c r="N181" s="16" t="inlineStr"/>
    </row>
    <row r="182" ht="31.4" customHeight="1">
      <c r="A182" s="14" t="n">
        <v>178</v>
      </c>
      <c r="B182" s="14" t="inlineStr">
        <is>
          <t>기믹/퍼즐</t>
        </is>
      </c>
      <c r="C182" s="14" t="inlineStr">
        <is>
          <t>상자</t>
        </is>
      </c>
      <c r="D182" s="14" t="inlineStr">
        <is>
          <t>일반 상자</t>
        </is>
      </c>
      <c r="E182" s="14" t="inlineStr">
        <is>
          <t>기능</t>
        </is>
      </c>
      <c r="F182" s="15" t="inlineStr">
        <is>
          <t>High</t>
        </is>
      </c>
      <c r="G182" s="3" t="inlineStr">
        <is>
          <t>상자 앞</t>
        </is>
      </c>
      <c r="H182" s="3" t="inlineStr">
        <is>
          <t>상자가 열리고 내용물이 나오는지 확인한다</t>
        </is>
      </c>
      <c r="I182" s="3" t="inlineStr">
        <is>
          <t>1. F</t>
        </is>
      </c>
      <c r="J182" s="3" t="inlineStr">
        <is>
          <t>개봉 연출 후 획득 패널이 뜬다</t>
        </is>
      </c>
      <c r="K182" s="16" t="inlineStr"/>
      <c r="L182" s="17" t="inlineStr"/>
      <c r="M182" s="3" t="inlineStr"/>
      <c r="N182" s="16" t="inlineStr"/>
    </row>
    <row r="183" ht="31.4" customHeight="1">
      <c r="A183" s="14" t="n">
        <v>179</v>
      </c>
      <c r="B183" s="14" t="inlineStr">
        <is>
          <t>기믹/퍼즐</t>
        </is>
      </c>
      <c r="C183" s="14" t="inlineStr">
        <is>
          <t>상자</t>
        </is>
      </c>
      <c r="D183" s="14" t="inlineStr">
        <is>
          <t>리젠</t>
        </is>
      </c>
      <c r="E183" s="14" t="inlineStr">
        <is>
          <t>상태</t>
        </is>
      </c>
      <c r="F183" s="14" t="inlineStr">
        <is>
          <t>Mid</t>
        </is>
      </c>
      <c r="G183" s="3" t="inlineStr">
        <is>
          <t>상자 개봉 후</t>
        </is>
      </c>
      <c r="H183" s="3" t="inlineStr">
        <is>
          <t>쿨타임 뒤 다시 열리는지 확인한다</t>
        </is>
      </c>
      <c r="I183" s="3" t="inlineStr">
        <is>
          <t>1. 개봉
2. 쿨타임 대기</t>
        </is>
      </c>
      <c r="J183" s="3" t="inlineStr">
        <is>
          <t>쿨타임이 끝나면 다시 열 수 있다</t>
        </is>
      </c>
      <c r="K183" s="16" t="inlineStr"/>
      <c r="L183" s="17" t="inlineStr"/>
      <c r="M183" s="3" t="inlineStr"/>
      <c r="N183" s="16" t="inlineStr"/>
    </row>
    <row r="184" ht="18.2" customHeight="1">
      <c r="A184" s="14" t="n">
        <v>180</v>
      </c>
      <c r="B184" s="14" t="inlineStr">
        <is>
          <t>기믹/퍼즐</t>
        </is>
      </c>
      <c r="C184" s="14" t="inlineStr">
        <is>
          <t>상자</t>
        </is>
      </c>
      <c r="D184" s="14" t="inlineStr">
        <is>
          <t>등장 연출</t>
        </is>
      </c>
      <c r="E184" s="14" t="inlineStr">
        <is>
          <t>연출</t>
        </is>
      </c>
      <c r="F184" s="14" t="inlineStr">
        <is>
          <t>Low</t>
        </is>
      </c>
      <c r="G184" s="3" t="inlineStr">
        <is>
          <t>리젠 시점</t>
        </is>
      </c>
      <c r="H184" s="3" t="inlineStr">
        <is>
          <t>리젠될 때 연출이 나오는지 확인한다</t>
        </is>
      </c>
      <c r="I184" s="3" t="inlineStr">
        <is>
          <t>1. 리젠 순간 관찰</t>
        </is>
      </c>
      <c r="J184" s="3" t="inlineStr">
        <is>
          <t>등장 이펙트가 재생된다</t>
        </is>
      </c>
      <c r="K184" s="16" t="inlineStr"/>
      <c r="L184" s="17" t="inlineStr"/>
      <c r="M184" s="3" t="inlineStr"/>
      <c r="N184" s="16" t="inlineStr"/>
    </row>
    <row r="185" ht="31.4" customHeight="1">
      <c r="A185" s="14" t="n">
        <v>181</v>
      </c>
      <c r="B185" s="14" t="inlineStr">
        <is>
          <t>기믹/퍼즐</t>
        </is>
      </c>
      <c r="C185" s="14" t="inlineStr">
        <is>
          <t>파괴물</t>
        </is>
      </c>
      <c r="D185" s="14" t="inlineStr">
        <is>
          <t>파괴</t>
        </is>
      </c>
      <c r="E185" s="14" t="inlineStr">
        <is>
          <t>기능</t>
        </is>
      </c>
      <c r="F185" s="14" t="inlineStr">
        <is>
          <t>Mid</t>
        </is>
      </c>
      <c r="G185" s="3" t="inlineStr">
        <is>
          <t>파괴 가능 오브젝트</t>
        </is>
      </c>
      <c r="H185" s="3" t="inlineStr">
        <is>
          <t>공격으로 부서지고 드랍이 나오는지 확인한다</t>
        </is>
      </c>
      <c r="I185" s="3" t="inlineStr">
        <is>
          <t>1. 공격</t>
        </is>
      </c>
      <c r="J185" s="3" t="inlineStr">
        <is>
          <t>부서지고 드랍이 생긴다</t>
        </is>
      </c>
      <c r="K185" s="16" t="inlineStr"/>
      <c r="L185" s="17" t="inlineStr"/>
      <c r="M185" s="3" t="inlineStr"/>
      <c r="N185" s="16" t="inlineStr"/>
    </row>
    <row r="186" ht="31.4" customHeight="1">
      <c r="A186" s="14" t="n">
        <v>182</v>
      </c>
      <c r="B186" s="14" t="inlineStr">
        <is>
          <t>기믹/퍼즐</t>
        </is>
      </c>
      <c r="C186" s="14" t="inlineStr">
        <is>
          <t>시간 위험</t>
        </is>
      </c>
      <c r="D186" s="14" t="inlineStr">
        <is>
          <t>진입 피해</t>
        </is>
      </c>
      <c r="E186" s="14" t="inlineStr">
        <is>
          <t>데이터</t>
        </is>
      </c>
      <c r="F186" s="15" t="inlineStr">
        <is>
          <t>High</t>
        </is>
      </c>
      <c r="G186" s="3" t="inlineStr">
        <is>
          <t>위험 구역</t>
        </is>
      </c>
      <c r="H186" s="3" t="inlineStr">
        <is>
          <t>구역 안에서 정의된 속도로 피해를 받는지 확인한다</t>
        </is>
      </c>
      <c r="I186" s="3" t="inlineStr">
        <is>
          <t>1. 진입
2. 10초 대기</t>
        </is>
      </c>
      <c r="J186" s="3" t="inlineStr">
        <is>
          <t>일반 감소보다 빠르게 줄고 이펙트가 켜진다</t>
        </is>
      </c>
      <c r="K186" s="16" t="inlineStr"/>
      <c r="L186" s="17" t="inlineStr"/>
      <c r="M186" s="3" t="inlineStr"/>
      <c r="N186" s="16" t="inlineStr"/>
    </row>
    <row r="187" ht="31.4" customHeight="1">
      <c r="A187" s="14" t="n">
        <v>183</v>
      </c>
      <c r="B187" s="14" t="inlineStr">
        <is>
          <t>기믹/퍼즐</t>
        </is>
      </c>
      <c r="C187" s="14" t="inlineStr">
        <is>
          <t>시간 위험</t>
        </is>
      </c>
      <c r="D187" s="14" t="inlineStr">
        <is>
          <t>탈출</t>
        </is>
      </c>
      <c r="E187" s="14" t="inlineStr">
        <is>
          <t>기능</t>
        </is>
      </c>
      <c r="F187" s="14" t="inlineStr">
        <is>
          <t>Mid</t>
        </is>
      </c>
      <c r="G187" s="3" t="inlineStr">
        <is>
          <t>위험 구역 안</t>
        </is>
      </c>
      <c r="H187" s="3" t="inlineStr">
        <is>
          <t>나오면 피해가 멈추는지 확인한다</t>
        </is>
      </c>
      <c r="I187" s="3" t="inlineStr">
        <is>
          <t>1. 구역 밖으로 이동</t>
        </is>
      </c>
      <c r="J187" s="3" t="inlineStr">
        <is>
          <t>감소가 기본 속도로 돌아오고 이펙트가 꺼진다</t>
        </is>
      </c>
      <c r="K187" s="16" t="inlineStr"/>
      <c r="L187" s="17" t="inlineStr"/>
      <c r="M187" s="3" t="inlineStr"/>
      <c r="N187" s="16" t="inlineStr"/>
    </row>
    <row r="188" ht="44.59999999999999" customHeight="1">
      <c r="A188" s="14" t="n">
        <v>184</v>
      </c>
      <c r="B188" s="14" t="inlineStr">
        <is>
          <t>기믹/퍼즐</t>
        </is>
      </c>
      <c r="C188" s="14" t="inlineStr">
        <is>
          <t>진행도</t>
        </is>
      </c>
      <c r="D188" s="14" t="inlineStr">
        <is>
          <t>기믹 저장</t>
        </is>
      </c>
      <c r="E188" s="14" t="inlineStr">
        <is>
          <t>상태</t>
        </is>
      </c>
      <c r="F188" s="15" t="inlineStr">
        <is>
          <t>High</t>
        </is>
      </c>
      <c r="G188" s="3" t="inlineStr">
        <is>
          <t>기믹 해결</t>
        </is>
      </c>
      <c r="H188" s="3" t="inlineStr">
        <is>
          <t>해결 상태가 저장되는지 확인한다</t>
        </is>
      </c>
      <c r="I188" s="3" t="inlineStr">
        <is>
          <t>1. 해결
2. 저장·종료
3. 이어하기</t>
        </is>
      </c>
      <c r="J188" s="3" t="inlineStr">
        <is>
          <t>해결된 상태로 복원된다</t>
        </is>
      </c>
      <c r="K188" s="16" t="inlineStr"/>
      <c r="L188" s="17" t="inlineStr"/>
      <c r="M188" s="3" t="inlineStr"/>
      <c r="N188" s="16" t="inlineStr"/>
    </row>
    <row r="189" ht="18.2" customHeight="1">
      <c r="A189" s="14" t="n">
        <v>185</v>
      </c>
      <c r="B189" s="14" t="inlineStr">
        <is>
          <t>기믹/퍼즐</t>
        </is>
      </c>
      <c r="C189" s="14" t="inlineStr">
        <is>
          <t>기믹</t>
        </is>
      </c>
      <c r="D189" s="14" t="inlineStr">
        <is>
          <t>해결 후 재진입</t>
        </is>
      </c>
      <c r="E189" s="14" t="inlineStr">
        <is>
          <t>상태</t>
        </is>
      </c>
      <c r="F189" s="14" t="inlineStr">
        <is>
          <t>Mid</t>
        </is>
      </c>
      <c r="G189" s="3" t="inlineStr">
        <is>
          <t>기믹 해결</t>
        </is>
      </c>
      <c r="H189" s="3" t="inlineStr">
        <is>
          <t>다시 와도 풀린 채인지 확인한다</t>
        </is>
      </c>
      <c r="I189" s="3" t="inlineStr">
        <is>
          <t>1. 지역을 벗어났다 재진입</t>
        </is>
      </c>
      <c r="J189" s="3" t="inlineStr">
        <is>
          <t>다시 요구하지 않는다</t>
        </is>
      </c>
      <c r="K189" s="16" t="inlineStr"/>
      <c r="L189" s="17" t="inlineStr"/>
      <c r="M189" s="3" t="inlineStr"/>
      <c r="N189" s="16" t="inlineStr"/>
    </row>
    <row r="190" ht="31.4" customHeight="1">
      <c r="A190" s="14" t="n">
        <v>186</v>
      </c>
      <c r="B190" s="14" t="inlineStr">
        <is>
          <t>기믹/퍼즐</t>
        </is>
      </c>
      <c r="C190" s="14" t="inlineStr">
        <is>
          <t>용암/피해 구역</t>
        </is>
      </c>
      <c r="D190" s="14" t="inlineStr">
        <is>
          <t>진입 피해</t>
        </is>
      </c>
      <c r="E190" s="14" t="inlineStr">
        <is>
          <t>데이터</t>
        </is>
      </c>
      <c r="F190" s="15" t="inlineStr">
        <is>
          <t>High</t>
        </is>
      </c>
      <c r="G190" s="3" t="inlineStr">
        <is>
          <t>용암 구역</t>
        </is>
      </c>
      <c r="H190" s="3" t="inlineStr">
        <is>
          <t>용암에 닿으면 피해를 받는지 확인한다</t>
        </is>
      </c>
      <c r="I190" s="3" t="inlineStr">
        <is>
          <t>1. 용암 가장자리 접촉</t>
        </is>
      </c>
      <c r="J190" s="3" t="inlineStr">
        <is>
          <t>피해가 들어가고 화상 이펙트가 켜진다</t>
        </is>
      </c>
      <c r="K190" s="16" t="inlineStr"/>
      <c r="L190" s="17" t="inlineStr"/>
      <c r="M190" s="3" t="inlineStr"/>
      <c r="N190" s="16" t="inlineStr"/>
    </row>
    <row r="191" ht="31.4" customHeight="1">
      <c r="A191" s="14" t="n">
        <v>187</v>
      </c>
      <c r="B191" s="14" t="inlineStr">
        <is>
          <t>기믹/퍼즐</t>
        </is>
      </c>
      <c r="C191" s="14" t="inlineStr">
        <is>
          <t>용암/피해 구역</t>
        </is>
      </c>
      <c r="D191" s="14" t="inlineStr">
        <is>
          <t>즉사 판정</t>
        </is>
      </c>
      <c r="E191" s="14" t="inlineStr">
        <is>
          <t>경계</t>
        </is>
      </c>
      <c r="F191" s="15" t="inlineStr">
        <is>
          <t>High</t>
        </is>
      </c>
      <c r="G191" s="3" t="inlineStr">
        <is>
          <t>용암 구역</t>
        </is>
      </c>
      <c r="H191" s="3" t="inlineStr">
        <is>
          <t>용암 중심에 들어가면 즉사하는지 확인한다</t>
        </is>
      </c>
      <c r="I191" s="3" t="inlineStr">
        <is>
          <t>1. 용암 깊숙이 진입</t>
        </is>
      </c>
      <c r="J191" s="3" t="inlineStr">
        <is>
          <t>즉시 사망 처리된다</t>
        </is>
      </c>
      <c r="K191" s="16" t="inlineStr"/>
      <c r="L191" s="17" t="inlineStr"/>
      <c r="M191" s="3" t="inlineStr"/>
      <c r="N191" s="16" t="inlineStr"/>
    </row>
    <row r="192" ht="31.4" customHeight="1">
      <c r="A192" s="18" t="n">
        <v>188</v>
      </c>
      <c r="B192" s="18" t="inlineStr">
        <is>
          <t>전투/적</t>
        </is>
      </c>
      <c r="C192" s="18" t="inlineStr">
        <is>
          <t>필드 몬스터</t>
        </is>
      </c>
      <c r="D192" s="18" t="inlineStr">
        <is>
          <t>스폰</t>
        </is>
      </c>
      <c r="E192" s="18" t="inlineStr">
        <is>
          <t>기능</t>
        </is>
      </c>
      <c r="F192" s="15" t="inlineStr">
        <is>
          <t>High</t>
        </is>
      </c>
      <c r="G192" s="19" t="inlineStr">
        <is>
          <t>필드 지역</t>
        </is>
      </c>
      <c r="H192" s="19" t="inlineStr">
        <is>
          <t>몬스터가 지정 위치에 생성되는지 확인한다</t>
        </is>
      </c>
      <c r="I192" s="19" t="inlineStr">
        <is>
          <t>1. 스폰 지점 접근</t>
        </is>
      </c>
      <c r="J192" s="19" t="inlineStr">
        <is>
          <t>몬스터가 생성된다</t>
        </is>
      </c>
      <c r="K192" s="16" t="inlineStr"/>
      <c r="L192" s="17" t="inlineStr"/>
      <c r="M192" s="19" t="inlineStr"/>
      <c r="N192" s="16" t="inlineStr"/>
    </row>
    <row r="193" ht="31.4" customHeight="1">
      <c r="A193" s="18" t="n">
        <v>189</v>
      </c>
      <c r="B193" s="18" t="inlineStr">
        <is>
          <t>전투/적</t>
        </is>
      </c>
      <c r="C193" s="18" t="inlineStr">
        <is>
          <t>필드 몬스터</t>
        </is>
      </c>
      <c r="D193" s="18" t="inlineStr">
        <is>
          <t>추격</t>
        </is>
      </c>
      <c r="E193" s="18" t="inlineStr">
        <is>
          <t>기능</t>
        </is>
      </c>
      <c r="F193" s="15" t="inlineStr">
        <is>
          <t>High</t>
        </is>
      </c>
      <c r="G193" s="19" t="inlineStr">
        <is>
          <t>몬스터 근처</t>
        </is>
      </c>
      <c r="H193" s="19" t="inlineStr">
        <is>
          <t>인식 범위에 들어가면 추격하는지 확인한다</t>
        </is>
      </c>
      <c r="I193" s="19" t="inlineStr">
        <is>
          <t>1. 시야 범위 안으로 접근</t>
        </is>
      </c>
      <c r="J193" s="19" t="inlineStr">
        <is>
          <t>플레이어를 향해 이동한다</t>
        </is>
      </c>
      <c r="K193" s="16" t="inlineStr"/>
      <c r="L193" s="17" t="inlineStr"/>
      <c r="M193" s="19" t="inlineStr"/>
      <c r="N193" s="16" t="inlineStr"/>
    </row>
    <row r="194" ht="31.4" customHeight="1">
      <c r="A194" s="18" t="n">
        <v>190</v>
      </c>
      <c r="B194" s="18" t="inlineStr">
        <is>
          <t>전투/적</t>
        </is>
      </c>
      <c r="C194" s="18" t="inlineStr">
        <is>
          <t>필드 몬스터</t>
        </is>
      </c>
      <c r="D194" s="18" t="inlineStr">
        <is>
          <t>추격 포기</t>
        </is>
      </c>
      <c r="E194" s="18" t="inlineStr">
        <is>
          <t>경계</t>
        </is>
      </c>
      <c r="F194" s="18" t="inlineStr">
        <is>
          <t>Mid</t>
        </is>
      </c>
      <c r="G194" s="19" t="inlineStr">
        <is>
          <t>추격 중</t>
        </is>
      </c>
      <c r="H194" s="19" t="inlineStr">
        <is>
          <t>일정 거리를 벗어나면 돌아가는지 확인한다</t>
        </is>
      </c>
      <c r="I194" s="19" t="inlineStr">
        <is>
          <t>1. 계속 달아난다</t>
        </is>
      </c>
      <c r="J194" s="19" t="inlineStr">
        <is>
          <t>추격을 멈추고 원위치로 돌아간다</t>
        </is>
      </c>
      <c r="K194" s="16" t="inlineStr"/>
      <c r="L194" s="17" t="inlineStr"/>
      <c r="M194" s="19" t="inlineStr"/>
      <c r="N194" s="16" t="inlineStr"/>
    </row>
    <row r="195" ht="18.2" customHeight="1">
      <c r="A195" s="18" t="n">
        <v>191</v>
      </c>
      <c r="B195" s="18" t="inlineStr">
        <is>
          <t>전투/적</t>
        </is>
      </c>
      <c r="C195" s="18" t="inlineStr">
        <is>
          <t>필드 몬스터</t>
        </is>
      </c>
      <c r="D195" s="18" t="inlineStr">
        <is>
          <t>공격 패턴</t>
        </is>
      </c>
      <c r="E195" s="18" t="inlineStr">
        <is>
          <t>기능</t>
        </is>
      </c>
      <c r="F195" s="15" t="inlineStr">
        <is>
          <t>High</t>
        </is>
      </c>
      <c r="G195" s="19" t="inlineStr">
        <is>
          <t>교전</t>
        </is>
      </c>
      <c r="H195" s="19" t="inlineStr">
        <is>
          <t>패턴이 정의대로 나오는지 확인한다</t>
        </is>
      </c>
      <c r="I195" s="19" t="inlineStr">
        <is>
          <t>1. 교전 유지</t>
        </is>
      </c>
      <c r="J195" s="19" t="inlineStr">
        <is>
          <t>쿨타임에 맞춰 공격하고 피해가 들어간다</t>
        </is>
      </c>
      <c r="K195" s="16" t="inlineStr"/>
      <c r="L195" s="17" t="inlineStr"/>
      <c r="M195" s="19" t="inlineStr"/>
      <c r="N195" s="16" t="inlineStr"/>
    </row>
    <row r="196" ht="31.4" customHeight="1">
      <c r="A196" s="18" t="n">
        <v>192</v>
      </c>
      <c r="B196" s="18" t="inlineStr">
        <is>
          <t>전투/적</t>
        </is>
      </c>
      <c r="C196" s="18" t="inlineStr">
        <is>
          <t>필드 몬스터</t>
        </is>
      </c>
      <c r="D196" s="18" t="inlineStr">
        <is>
          <t>리스폰</t>
        </is>
      </c>
      <c r="E196" s="18" t="inlineStr">
        <is>
          <t>상태</t>
        </is>
      </c>
      <c r="F196" s="18" t="inlineStr">
        <is>
          <t>Mid</t>
        </is>
      </c>
      <c r="G196" s="19" t="inlineStr">
        <is>
          <t>처치 후</t>
        </is>
      </c>
      <c r="H196" s="19" t="inlineStr">
        <is>
          <t>쿨타임 뒤 리스폰되는지 확인한다</t>
        </is>
      </c>
      <c r="I196" s="19" t="inlineStr">
        <is>
          <t>1. 처치
2. 대기</t>
        </is>
      </c>
      <c r="J196" s="19" t="inlineStr">
        <is>
          <t>쿨타임 후 같은 지점에 다시 스폰된다</t>
        </is>
      </c>
      <c r="K196" s="16" t="inlineStr"/>
      <c r="L196" s="17" t="inlineStr"/>
      <c r="M196" s="19" t="inlineStr"/>
      <c r="N196" s="16" t="inlineStr"/>
    </row>
    <row r="197" ht="31.4" customHeight="1">
      <c r="A197" s="18" t="n">
        <v>193</v>
      </c>
      <c r="B197" s="18" t="inlineStr">
        <is>
          <t>전투/적</t>
        </is>
      </c>
      <c r="C197" s="18" t="inlineStr">
        <is>
          <t>필드 몬스터</t>
        </is>
      </c>
      <c r="D197" s="18" t="inlineStr">
        <is>
          <t>지역별 출현</t>
        </is>
      </c>
      <c r="E197" s="18" t="inlineStr">
        <is>
          <t>데이터</t>
        </is>
      </c>
      <c r="F197" s="18" t="inlineStr">
        <is>
          <t>Mid</t>
        </is>
      </c>
      <c r="G197" s="19" t="inlineStr">
        <is>
          <t>각 지역</t>
        </is>
      </c>
      <c r="H197" s="19" t="inlineStr">
        <is>
          <t>지역에 맞는 몬스터만 나오는지 확인한다</t>
        </is>
      </c>
      <c r="I197" s="19" t="inlineStr">
        <is>
          <t>1. 4지역 순회
2. 출현 기록</t>
        </is>
      </c>
      <c r="J197" s="19" t="inlineStr">
        <is>
          <t>테이블 region 과 일치한다</t>
        </is>
      </c>
      <c r="K197" s="16" t="inlineStr"/>
      <c r="L197" s="17" t="inlineStr"/>
      <c r="M197" s="19" t="inlineStr"/>
      <c r="N197" s="16" t="inlineStr"/>
    </row>
    <row r="198" ht="31.4" customHeight="1">
      <c r="A198" s="18" t="n">
        <v>194</v>
      </c>
      <c r="B198" s="18" t="inlineStr">
        <is>
          <t>전투/적</t>
        </is>
      </c>
      <c r="C198" s="18" t="inlineStr">
        <is>
          <t>보스</t>
        </is>
      </c>
      <c r="D198" s="18" t="inlineStr">
        <is>
          <t>페이즈 전환</t>
        </is>
      </c>
      <c r="E198" s="18" t="inlineStr">
        <is>
          <t>상태</t>
        </is>
      </c>
      <c r="F198" s="15" t="inlineStr">
        <is>
          <t>High</t>
        </is>
      </c>
      <c r="G198" s="19" t="inlineStr">
        <is>
          <t>보스 교전</t>
        </is>
      </c>
      <c r="H198" s="19" t="inlineStr">
        <is>
          <t>체력에 따라 페이즈가 바뀌는지 확인한다</t>
        </is>
      </c>
      <c r="I198" s="19" t="inlineStr">
        <is>
          <t>1. 체력을 깎는다</t>
        </is>
      </c>
      <c r="J198" s="19" t="inlineStr">
        <is>
          <t>특정 체력에서 패턴이 바뀐다</t>
        </is>
      </c>
      <c r="K198" s="16" t="inlineStr"/>
      <c r="L198" s="17" t="inlineStr"/>
      <c r="M198" s="19" t="inlineStr"/>
      <c r="N198" s="16" t="inlineStr"/>
    </row>
    <row r="199" ht="18.2" customHeight="1">
      <c r="A199" s="18" t="n">
        <v>195</v>
      </c>
      <c r="B199" s="18" t="inlineStr">
        <is>
          <t>전투/적</t>
        </is>
      </c>
      <c r="C199" s="18" t="inlineStr">
        <is>
          <t>보스</t>
        </is>
      </c>
      <c r="D199" s="18" t="inlineStr">
        <is>
          <t>전조 VFX</t>
        </is>
      </c>
      <c r="E199" s="18" t="inlineStr">
        <is>
          <t>연출</t>
        </is>
      </c>
      <c r="F199" s="18" t="inlineStr">
        <is>
          <t>Mid</t>
        </is>
      </c>
      <c r="G199" s="19" t="inlineStr">
        <is>
          <t>보스 교전</t>
        </is>
      </c>
      <c r="H199" s="19" t="inlineStr">
        <is>
          <t>공격 전 전조가 나오는지 확인한다</t>
        </is>
      </c>
      <c r="I199" s="19" t="inlineStr">
        <is>
          <t>1. 각 패턴 관찰</t>
        </is>
      </c>
      <c r="J199" s="19" t="inlineStr">
        <is>
          <t>패턴마다 전조 이펙트가 선행된다</t>
        </is>
      </c>
      <c r="K199" s="16" t="inlineStr"/>
      <c r="L199" s="17" t="inlineStr"/>
      <c r="M199" s="19" t="inlineStr"/>
      <c r="N199" s="16" t="inlineStr"/>
    </row>
    <row r="200" ht="18.2" customHeight="1">
      <c r="A200" s="18" t="n">
        <v>196</v>
      </c>
      <c r="B200" s="18" t="inlineStr">
        <is>
          <t>전투/적</t>
        </is>
      </c>
      <c r="C200" s="18" t="inlineStr">
        <is>
          <t>보스</t>
        </is>
      </c>
      <c r="D200" s="18" t="inlineStr">
        <is>
          <t>체력바</t>
        </is>
      </c>
      <c r="E200" s="18" t="inlineStr">
        <is>
          <t>연출</t>
        </is>
      </c>
      <c r="F200" s="18" t="inlineStr">
        <is>
          <t>Mid</t>
        </is>
      </c>
      <c r="G200" s="19" t="inlineStr">
        <is>
          <t>보스 교전</t>
        </is>
      </c>
      <c r="H200" s="19" t="inlineStr">
        <is>
          <t>체력바가 실제와 맞는지 확인한다</t>
        </is>
      </c>
      <c r="I200" s="19" t="inlineStr">
        <is>
          <t>1. 피해를 주며 관찰</t>
        </is>
      </c>
      <c r="J200" s="19" t="inlineStr">
        <is>
          <t>체력바가 실제 체력과 같이 줄어든다</t>
        </is>
      </c>
      <c r="K200" s="16" t="inlineStr"/>
      <c r="L200" s="17" t="inlineStr"/>
      <c r="M200" s="19" t="inlineStr"/>
      <c r="N200" s="16" t="inlineStr"/>
    </row>
    <row r="201" ht="31.4" customHeight="1">
      <c r="A201" s="18" t="n">
        <v>197</v>
      </c>
      <c r="B201" s="18" t="inlineStr">
        <is>
          <t>전투/적</t>
        </is>
      </c>
      <c r="C201" s="18" t="inlineStr">
        <is>
          <t>보스</t>
        </is>
      </c>
      <c r="D201" s="18" t="inlineStr">
        <is>
          <t>포효 디버프</t>
        </is>
      </c>
      <c r="E201" s="18" t="inlineStr">
        <is>
          <t>상태</t>
        </is>
      </c>
      <c r="F201" s="18" t="inlineStr">
        <is>
          <t>Mid</t>
        </is>
      </c>
      <c r="G201" s="19" t="inlineStr">
        <is>
          <t>보스 교전</t>
        </is>
      </c>
      <c r="H201" s="19" t="inlineStr">
        <is>
          <t>포효 디버프가 걸리고 풀리는지 확인한다</t>
        </is>
      </c>
      <c r="I201" s="19" t="inlineStr">
        <is>
          <t>1. 포효 범위 안
2. 대기</t>
        </is>
      </c>
      <c r="J201" s="19" t="inlineStr">
        <is>
          <t>디버프 아이콘이 뜨고 시간 뒤 사라진다</t>
        </is>
      </c>
      <c r="K201" s="16" t="inlineStr"/>
      <c r="L201" s="17" t="inlineStr"/>
      <c r="M201" s="19" t="inlineStr"/>
      <c r="N201" s="16" t="inlineStr"/>
    </row>
    <row r="202" ht="18.2" customHeight="1">
      <c r="A202" s="18" t="n">
        <v>198</v>
      </c>
      <c r="B202" s="18" t="inlineStr">
        <is>
          <t>전투/적</t>
        </is>
      </c>
      <c r="C202" s="18" t="inlineStr">
        <is>
          <t>보스</t>
        </is>
      </c>
      <c r="D202" s="18" t="inlineStr">
        <is>
          <t>처치</t>
        </is>
      </c>
      <c r="E202" s="18" t="inlineStr">
        <is>
          <t>기능</t>
        </is>
      </c>
      <c r="F202" s="15" t="inlineStr">
        <is>
          <t>High</t>
        </is>
      </c>
      <c r="G202" s="19" t="inlineStr">
        <is>
          <t>보스 체력 소진</t>
        </is>
      </c>
      <c r="H202" s="19" t="inlineStr">
        <is>
          <t>처치 시 보상이 나오는지 확인한다</t>
        </is>
      </c>
      <c r="I202" s="19" t="inlineStr">
        <is>
          <t>1. 처치</t>
        </is>
      </c>
      <c r="J202" s="19" t="inlineStr">
        <is>
          <t>사망 연출 후 보상 상자가 생긴다</t>
        </is>
      </c>
      <c r="K202" s="16" t="inlineStr"/>
      <c r="L202" s="17" t="inlineStr"/>
      <c r="M202" s="19" t="inlineStr"/>
      <c r="N202" s="16" t="inlineStr"/>
    </row>
    <row r="203" ht="31.4" customHeight="1">
      <c r="A203" s="18" t="n">
        <v>199</v>
      </c>
      <c r="B203" s="18" t="inlineStr">
        <is>
          <t>전투/적</t>
        </is>
      </c>
      <c r="C203" s="18" t="inlineStr">
        <is>
          <t>보스</t>
        </is>
      </c>
      <c r="D203" s="18" t="inlineStr">
        <is>
          <t>저장 처리</t>
        </is>
      </c>
      <c r="E203" s="18" t="inlineStr">
        <is>
          <t>상태</t>
        </is>
      </c>
      <c r="F203" s="15" t="inlineStr">
        <is>
          <t>High</t>
        </is>
      </c>
      <c r="G203" s="19" t="inlineStr">
        <is>
          <t>보스 교전 중</t>
        </is>
      </c>
      <c r="H203" s="19" t="inlineStr">
        <is>
          <t>교전 중 저장·로드가 안전한지 확인한다</t>
        </is>
      </c>
      <c r="I203" s="19" t="inlineStr">
        <is>
          <t>1. 교전 중 저장
2. 이어하기</t>
        </is>
      </c>
      <c r="J203" s="19" t="inlineStr">
        <is>
          <t>보스가 리셋되거나 안전한 상태로 복원된다</t>
        </is>
      </c>
      <c r="K203" s="16" t="inlineStr"/>
      <c r="L203" s="17" t="inlineStr"/>
      <c r="M203" s="19" t="inlineStr"/>
      <c r="N203" s="16" t="inlineStr"/>
    </row>
    <row r="204" ht="44.59999999999999" customHeight="1">
      <c r="A204" s="18" t="n">
        <v>200</v>
      </c>
      <c r="B204" s="18" t="inlineStr">
        <is>
          <t>전투/적</t>
        </is>
      </c>
      <c r="C204" s="18" t="inlineStr">
        <is>
          <t>보스</t>
        </is>
      </c>
      <c r="D204" s="18" t="inlineStr">
        <is>
          <t>화염정령</t>
        </is>
      </c>
      <c r="E204" s="18" t="inlineStr">
        <is>
          <t>기능</t>
        </is>
      </c>
      <c r="F204" s="15" t="inlineStr">
        <is>
          <t>High</t>
        </is>
      </c>
      <c r="G204" s="19" t="inlineStr">
        <is>
          <t>용암 지역 보스 조우</t>
        </is>
      </c>
      <c r="H204" s="19" t="inlineStr">
        <is>
          <t>화염정령은 고정형(이동 없음) 보스다. 제자리에서 패턴을 쓰는지 확인한다</t>
        </is>
      </c>
      <c r="I204" s="19" t="inlineStr">
        <is>
          <t>1. 용암 지역의 보스와 교전
2. 패턴을 관찰
3. 처치까지 진행</t>
        </is>
      </c>
      <c r="J204" s="19" t="inlineStr">
        <is>
          <t>이동하지 않고 제자리에서 고유 패턴을 쓰며 처치까지 진행된다</t>
        </is>
      </c>
      <c r="K204" s="16" t="inlineStr"/>
      <c r="L204" s="17" t="inlineStr"/>
      <c r="M204" s="19" t="inlineStr"/>
      <c r="N204" s="16" t="inlineStr"/>
    </row>
    <row r="205" ht="44.59999999999999" customHeight="1">
      <c r="A205" s="18" t="n">
        <v>201</v>
      </c>
      <c r="B205" s="18" t="inlineStr">
        <is>
          <t>전투/적</t>
        </is>
      </c>
      <c r="C205" s="18" t="inlineStr">
        <is>
          <t>보스</t>
        </is>
      </c>
      <c r="D205" s="18" t="inlineStr">
        <is>
          <t>얼음정령</t>
        </is>
      </c>
      <c r="E205" s="18" t="inlineStr">
        <is>
          <t>기능</t>
        </is>
      </c>
      <c r="F205" s="15" t="inlineStr">
        <is>
          <t>High</t>
        </is>
      </c>
      <c r="G205" s="19" t="inlineStr">
        <is>
          <t>설원 지역 보스 조우</t>
        </is>
      </c>
      <c r="H205" s="19" t="inlineStr">
        <is>
          <t>얼음정령이 이동하며 고유 패턴을 쓰는지 확인한다</t>
        </is>
      </c>
      <c r="I205" s="19" t="inlineStr">
        <is>
          <t>1. 설원 지역의 보스와 교전
2. 패턴을 관찰
3. 처치까지 진행</t>
        </is>
      </c>
      <c r="J205" s="19" t="inlineStr">
        <is>
          <t>추격과 고유 패턴이 나오고 처치까지 진행된다</t>
        </is>
      </c>
      <c r="K205" s="16" t="inlineStr"/>
      <c r="L205" s="17" t="inlineStr"/>
      <c r="M205" s="19" t="inlineStr"/>
      <c r="N205" s="16" t="inlineStr"/>
    </row>
    <row r="206" ht="44.59999999999999" customHeight="1">
      <c r="A206" s="18" t="n">
        <v>202</v>
      </c>
      <c r="B206" s="18" t="inlineStr">
        <is>
          <t>전투/적</t>
        </is>
      </c>
      <c r="C206" s="18" t="inlineStr">
        <is>
          <t>보스</t>
        </is>
      </c>
      <c r="D206" s="18" t="inlineStr">
        <is>
          <t>모래정령</t>
        </is>
      </c>
      <c r="E206" s="18" t="inlineStr">
        <is>
          <t>기능</t>
        </is>
      </c>
      <c r="F206" s="15" t="inlineStr">
        <is>
          <t>High</t>
        </is>
      </c>
      <c r="G206" s="19" t="inlineStr">
        <is>
          <t>사막 지역 보스 조우</t>
        </is>
      </c>
      <c r="H206" s="19" t="inlineStr">
        <is>
          <t>모래정령이 이동하며 고유 패턴을 쓰는지 확인한다</t>
        </is>
      </c>
      <c r="I206" s="19" t="inlineStr">
        <is>
          <t>1. 사막 지역의 보스와 교전
2. 패턴을 관찰
3. 처치까지 진행</t>
        </is>
      </c>
      <c r="J206" s="19" t="inlineStr">
        <is>
          <t>추격과 고유 패턴이 나오고 처치까지 진행된다</t>
        </is>
      </c>
      <c r="K206" s="16" t="inlineStr"/>
      <c r="L206" s="17" t="inlineStr"/>
      <c r="M206" s="19" t="inlineStr"/>
      <c r="N206" s="16" t="inlineStr"/>
    </row>
    <row r="207" ht="44.59999999999999" customHeight="1">
      <c r="A207" s="18" t="n">
        <v>203</v>
      </c>
      <c r="B207" s="18" t="inlineStr">
        <is>
          <t>전투/적</t>
        </is>
      </c>
      <c r="C207" s="18" t="inlineStr">
        <is>
          <t>보스</t>
        </is>
      </c>
      <c r="D207" s="18" t="inlineStr">
        <is>
          <t>와이번 보스</t>
        </is>
      </c>
      <c r="E207" s="18" t="inlineStr">
        <is>
          <t>데이터</t>
        </is>
      </c>
      <c r="F207" s="15" t="inlineStr">
        <is>
          <t>High</t>
        </is>
      </c>
      <c r="G207" s="19" t="inlineStr">
        <is>
          <t>자연 지역 보스 조우</t>
        </is>
      </c>
      <c r="H207" s="19" t="inlineStr">
        <is>
          <t>자연 지역의 와이번 보스가 일반 와이번과 다르게 동작하는지 확인한다</t>
        </is>
      </c>
      <c r="I207" s="19" t="inlineStr">
        <is>
          <t>1. 자연 지역의 보스와 교전
2. 패턴을 관찰
3. 처치까지 진행</t>
        </is>
      </c>
      <c r="J207" s="19" t="inlineStr">
        <is>
          <t>일반 와이번보다 높은 체력과 전용 패턴으로 동작한다</t>
        </is>
      </c>
      <c r="K207" s="16" t="inlineStr"/>
      <c r="L207" s="17" t="inlineStr"/>
      <c r="M207" s="19" t="inlineStr">
        <is>
          <t>일반 와이번과 이름 동일 - 데이터 확인 필요</t>
        </is>
      </c>
      <c r="N207" s="16" t="inlineStr"/>
    </row>
    <row r="208" ht="31.4" customHeight="1">
      <c r="A208" s="18" t="n">
        <v>204</v>
      </c>
      <c r="B208" s="18" t="inlineStr">
        <is>
          <t>전투/적</t>
        </is>
      </c>
      <c r="C208" s="18" t="inlineStr">
        <is>
          <t>정예</t>
        </is>
      </c>
      <c r="D208" s="18" t="inlineStr">
        <is>
          <t>열쇠 드랍</t>
        </is>
      </c>
      <c r="E208" s="18" t="inlineStr">
        <is>
          <t>기능</t>
        </is>
      </c>
      <c r="F208" s="15" t="inlineStr">
        <is>
          <t>High</t>
        </is>
      </c>
      <c r="G208" s="19" t="inlineStr">
        <is>
          <t>정예 몬스터</t>
        </is>
      </c>
      <c r="H208" s="19" t="inlineStr">
        <is>
          <t>정예를 잡으면 열쇠가 나오는지 확인한다</t>
        </is>
      </c>
      <c r="I208" s="19" t="inlineStr">
        <is>
          <t>1. 정예 처치</t>
        </is>
      </c>
      <c r="J208" s="19" t="inlineStr">
        <is>
          <t>열쇠 아이템이 드랍된다</t>
        </is>
      </c>
      <c r="K208" s="16" t="inlineStr"/>
      <c r="L208" s="17" t="inlineStr"/>
      <c r="M208" s="19" t="inlineStr"/>
      <c r="N208" s="16" t="inlineStr"/>
    </row>
    <row r="209" ht="31.4" customHeight="1">
      <c r="A209" s="18" t="n">
        <v>205</v>
      </c>
      <c r="B209" s="18" t="inlineStr">
        <is>
          <t>전투/적</t>
        </is>
      </c>
      <c r="C209" s="18" t="inlineStr">
        <is>
          <t>정예</t>
        </is>
      </c>
      <c r="D209" s="18" t="inlineStr">
        <is>
          <t>반복 드랍</t>
        </is>
      </c>
      <c r="E209" s="18" t="inlineStr">
        <is>
          <t>데이터</t>
        </is>
      </c>
      <c r="F209" s="18" t="inlineStr">
        <is>
          <t>Mid</t>
        </is>
      </c>
      <c r="G209" s="19" t="inlineStr">
        <is>
          <t>정예 반복 처치</t>
        </is>
      </c>
      <c r="H209" s="19" t="inlineStr">
        <is>
          <t>반복 처치 시 드랍 정책이 지켜지는지 확인한다</t>
        </is>
      </c>
      <c r="I209" s="19" t="inlineStr">
        <is>
          <t>1. 같은 정예 3회 처치</t>
        </is>
      </c>
      <c r="J209" s="19" t="inlineStr">
        <is>
          <t>정책대로 매번 또는 1회만 드랍된다</t>
        </is>
      </c>
      <c r="K209" s="16" t="inlineStr"/>
      <c r="L209" s="17" t="inlineStr"/>
      <c r="M209" s="19" t="inlineStr"/>
      <c r="N209" s="16" t="inlineStr"/>
    </row>
    <row r="210" ht="18.2" customHeight="1">
      <c r="A210" s="18" t="n">
        <v>206</v>
      </c>
      <c r="B210" s="18" t="inlineStr">
        <is>
          <t>전투/적</t>
        </is>
      </c>
      <c r="C210" s="18" t="inlineStr">
        <is>
          <t>정예</t>
        </is>
      </c>
      <c r="D210" s="18" t="inlineStr">
        <is>
          <t>흡수 연출</t>
        </is>
      </c>
      <c r="E210" s="18" t="inlineStr">
        <is>
          <t>연출</t>
        </is>
      </c>
      <c r="F210" s="18" t="inlineStr">
        <is>
          <t>Low</t>
        </is>
      </c>
      <c r="G210" s="19" t="inlineStr">
        <is>
          <t>정예 처치</t>
        </is>
      </c>
      <c r="H210" s="19" t="inlineStr">
        <is>
          <t>처치 시 흡수 연출이 나오는지 확인한다</t>
        </is>
      </c>
      <c r="I210" s="19" t="inlineStr">
        <is>
          <t>1. 처치 순간 관찰</t>
        </is>
      </c>
      <c r="J210" s="19" t="inlineStr">
        <is>
          <t>흡수 이펙트가 재생된다</t>
        </is>
      </c>
      <c r="K210" s="16" t="inlineStr"/>
      <c r="L210" s="17" t="inlineStr"/>
      <c r="M210" s="19" t="inlineStr"/>
      <c r="N210" s="16" t="inlineStr"/>
    </row>
    <row r="211" ht="18.2" customHeight="1">
      <c r="A211" s="18" t="n">
        <v>207</v>
      </c>
      <c r="B211" s="18" t="inlineStr">
        <is>
          <t>전투/적</t>
        </is>
      </c>
      <c r="C211" s="18" t="inlineStr">
        <is>
          <t>피격</t>
        </is>
      </c>
      <c r="D211" s="18" t="inlineStr">
        <is>
          <t>데미지 표시</t>
        </is>
      </c>
      <c r="E211" s="18" t="inlineStr">
        <is>
          <t>연출</t>
        </is>
      </c>
      <c r="F211" s="18" t="inlineStr">
        <is>
          <t>Mid</t>
        </is>
      </c>
      <c r="G211" s="19" t="inlineStr">
        <is>
          <t>교전</t>
        </is>
      </c>
      <c r="H211" s="19" t="inlineStr">
        <is>
          <t>피해량이 숫자로 뜨는지 확인한다</t>
        </is>
      </c>
      <c r="I211" s="19" t="inlineStr">
        <is>
          <t>1. 공격</t>
        </is>
      </c>
      <c r="J211" s="19" t="inlineStr">
        <is>
          <t>피해 숫자가 떠올라 사라진다</t>
        </is>
      </c>
      <c r="K211" s="16" t="inlineStr"/>
      <c r="L211" s="17" t="inlineStr"/>
      <c r="M211" s="19" t="inlineStr"/>
      <c r="N211" s="16" t="inlineStr"/>
    </row>
    <row r="212" ht="18.2" customHeight="1">
      <c r="A212" s="18" t="n">
        <v>208</v>
      </c>
      <c r="B212" s="18" t="inlineStr">
        <is>
          <t>전투/적</t>
        </is>
      </c>
      <c r="C212" s="18" t="inlineStr">
        <is>
          <t>피격</t>
        </is>
      </c>
      <c r="D212" s="18" t="inlineStr">
        <is>
          <t>넉백</t>
        </is>
      </c>
      <c r="E212" s="18" t="inlineStr">
        <is>
          <t>기능</t>
        </is>
      </c>
      <c r="F212" s="18" t="inlineStr">
        <is>
          <t>Mid</t>
        </is>
      </c>
      <c r="G212" s="19" t="inlineStr">
        <is>
          <t>교전</t>
        </is>
      </c>
      <c r="H212" s="19" t="inlineStr">
        <is>
          <t>피격 시 밀려나는지 확인한다</t>
        </is>
      </c>
      <c r="I212" s="19" t="inlineStr">
        <is>
          <t>1. 피격</t>
        </is>
      </c>
      <c r="J212" s="19" t="inlineStr">
        <is>
          <t>짧게 밀려나고 조작이 돌아온다</t>
        </is>
      </c>
      <c r="K212" s="16" t="inlineStr"/>
      <c r="L212" s="17" t="inlineStr"/>
      <c r="M212" s="19" t="inlineStr"/>
      <c r="N212" s="16" t="inlineStr"/>
    </row>
    <row r="213" ht="31.4" customHeight="1">
      <c r="A213" s="18" t="n">
        <v>209</v>
      </c>
      <c r="B213" s="18" t="inlineStr">
        <is>
          <t>전투/적</t>
        </is>
      </c>
      <c r="C213" s="18" t="inlineStr">
        <is>
          <t>적 체력</t>
        </is>
      </c>
      <c r="D213" s="18" t="inlineStr">
        <is>
          <t>고스트 바</t>
        </is>
      </c>
      <c r="E213" s="18" t="inlineStr">
        <is>
          <t>연출</t>
        </is>
      </c>
      <c r="F213" s="18" t="inlineStr">
        <is>
          <t>Low</t>
        </is>
      </c>
      <c r="G213" s="19" t="inlineStr">
        <is>
          <t>교전</t>
        </is>
      </c>
      <c r="H213" s="19" t="inlineStr">
        <is>
          <t>체력바 감소가 잔상으로 따라오는지 확인한다</t>
        </is>
      </c>
      <c r="I213" s="19" t="inlineStr">
        <is>
          <t>1. 큰 피해를 준다</t>
        </is>
      </c>
      <c r="J213" s="19" t="inlineStr">
        <is>
          <t>즉시 감소 뒤 잔상 바가 뒤따라 줄어든다</t>
        </is>
      </c>
      <c r="K213" s="16" t="inlineStr"/>
      <c r="L213" s="17" t="inlineStr"/>
      <c r="M213" s="19" t="inlineStr"/>
      <c r="N213" s="16" t="inlineStr"/>
    </row>
    <row r="214" ht="31.4" customHeight="1">
      <c r="A214" s="14" t="n">
        <v>210</v>
      </c>
      <c r="B214" s="14" t="inlineStr">
        <is>
          <t>퀘스트/튜토리얼</t>
        </is>
      </c>
      <c r="C214" s="14" t="inlineStr">
        <is>
          <t>진행</t>
        </is>
      </c>
      <c r="D214" s="14" t="inlineStr">
        <is>
          <t>수락</t>
        </is>
      </c>
      <c r="E214" s="14" t="inlineStr">
        <is>
          <t>기능</t>
        </is>
      </c>
      <c r="F214" s="15" t="inlineStr">
        <is>
          <t>High</t>
        </is>
      </c>
      <c r="G214" s="3" t="inlineStr">
        <is>
          <t>퀘스트 제공 시점</t>
        </is>
      </c>
      <c r="H214" s="3" t="inlineStr">
        <is>
          <t>퀘스트가 수락되고 목록에 뜨는지 확인한다</t>
        </is>
      </c>
      <c r="I214" s="3" t="inlineStr">
        <is>
          <t>1. 수락</t>
        </is>
      </c>
      <c r="J214" s="3" t="inlineStr">
        <is>
          <t>추적기에 목표가 표시된다</t>
        </is>
      </c>
      <c r="K214" s="16" t="inlineStr"/>
      <c r="L214" s="17" t="inlineStr"/>
      <c r="M214" s="3" t="inlineStr"/>
      <c r="N214" s="16" t="inlineStr"/>
    </row>
    <row r="215" ht="31.4" customHeight="1">
      <c r="A215" s="14" t="n">
        <v>211</v>
      </c>
      <c r="B215" s="14" t="inlineStr">
        <is>
          <t>퀘스트/튜토리얼</t>
        </is>
      </c>
      <c r="C215" s="14" t="inlineStr">
        <is>
          <t>진행</t>
        </is>
      </c>
      <c r="D215" s="14" t="inlineStr">
        <is>
          <t>추적기 표시</t>
        </is>
      </c>
      <c r="E215" s="14" t="inlineStr">
        <is>
          <t>연출</t>
        </is>
      </c>
      <c r="F215" s="14" t="inlineStr">
        <is>
          <t>Mid</t>
        </is>
      </c>
      <c r="G215" s="3" t="inlineStr">
        <is>
          <t>퀘스트 진행 중</t>
        </is>
      </c>
      <c r="H215" s="3" t="inlineStr">
        <is>
          <t>추적기가 진행도를 보여주는지 확인한다</t>
        </is>
      </c>
      <c r="I215" s="3" t="inlineStr">
        <is>
          <t>1. 목표 일부 달성</t>
        </is>
      </c>
      <c r="J215" s="3" t="inlineStr">
        <is>
          <t>n/m 카운트가 갱신된다</t>
        </is>
      </c>
      <c r="K215" s="16" t="inlineStr"/>
      <c r="L215" s="17" t="inlineStr"/>
      <c r="M215" s="3" t="inlineStr"/>
      <c r="N215" s="16" t="inlineStr"/>
    </row>
    <row r="216" ht="31.4" customHeight="1">
      <c r="A216" s="14" t="n">
        <v>212</v>
      </c>
      <c r="B216" s="14" t="inlineStr">
        <is>
          <t>퀘스트/튜토리얼</t>
        </is>
      </c>
      <c r="C216" s="14" t="inlineStr">
        <is>
          <t>진행</t>
        </is>
      </c>
      <c r="D216" s="14" t="inlineStr">
        <is>
          <t>완료/보상</t>
        </is>
      </c>
      <c r="E216" s="14" t="inlineStr">
        <is>
          <t>기능</t>
        </is>
      </c>
      <c r="F216" s="15" t="inlineStr">
        <is>
          <t>High</t>
        </is>
      </c>
      <c r="G216" s="3" t="inlineStr">
        <is>
          <t>목표 달성</t>
        </is>
      </c>
      <c r="H216" s="3" t="inlineStr">
        <is>
          <t>완료 시 보상이 지급되는지 확인한다</t>
        </is>
      </c>
      <c r="I216" s="3" t="inlineStr">
        <is>
          <t>1. 목표 전부 달성</t>
        </is>
      </c>
      <c r="J216" s="3" t="inlineStr">
        <is>
          <t>완료 처리되고 보상이 인벤토리에 들어온다</t>
        </is>
      </c>
      <c r="K216" s="16" t="inlineStr"/>
      <c r="L216" s="17" t="inlineStr"/>
      <c r="M216" s="3" t="inlineStr"/>
      <c r="N216" s="16" t="inlineStr"/>
    </row>
    <row r="217" ht="31.4" customHeight="1">
      <c r="A217" s="14" t="n">
        <v>213</v>
      </c>
      <c r="B217" s="14" t="inlineStr">
        <is>
          <t>퀘스트/튜토리얼</t>
        </is>
      </c>
      <c r="C217" s="14" t="inlineStr">
        <is>
          <t>진행</t>
        </is>
      </c>
      <c r="D217" s="14" t="inlineStr">
        <is>
          <t>동시 진행</t>
        </is>
      </c>
      <c r="E217" s="14" t="inlineStr">
        <is>
          <t>기능</t>
        </is>
      </c>
      <c r="F217" s="14" t="inlineStr">
        <is>
          <t>Mid</t>
        </is>
      </c>
      <c r="G217" s="3" t="inlineStr">
        <is>
          <t>퀘스트 2개</t>
        </is>
      </c>
      <c r="H217" s="3" t="inlineStr">
        <is>
          <t>여러 퀘스트를 동시에 추적하는지 확인한다</t>
        </is>
      </c>
      <c r="I217" s="3" t="inlineStr">
        <is>
          <t>1. 2개 수락
2. 각각 진행</t>
        </is>
      </c>
      <c r="J217" s="3" t="inlineStr">
        <is>
          <t>두 퀘스트 진행도가 각각 갱신된다</t>
        </is>
      </c>
      <c r="K217" s="16" t="inlineStr"/>
      <c r="L217" s="17" t="inlineStr"/>
      <c r="M217" s="3" t="inlineStr"/>
      <c r="N217" s="16" t="inlineStr"/>
    </row>
    <row r="218" ht="31.4" customHeight="1">
      <c r="A218" s="14" t="n">
        <v>214</v>
      </c>
      <c r="B218" s="14" t="inlineStr">
        <is>
          <t>퀘스트/튜토리얼</t>
        </is>
      </c>
      <c r="C218" s="14" t="inlineStr">
        <is>
          <t>목표 타입</t>
        </is>
      </c>
      <c r="D218" s="14" t="inlineStr">
        <is>
          <t>처치</t>
        </is>
      </c>
      <c r="E218" s="14" t="inlineStr">
        <is>
          <t>기능</t>
        </is>
      </c>
      <c r="F218" s="15" t="inlineStr">
        <is>
          <t>High</t>
        </is>
      </c>
      <c r="G218" s="3" t="inlineStr">
        <is>
          <t>처치 퀘스트</t>
        </is>
      </c>
      <c r="H218" s="3" t="inlineStr">
        <is>
          <t>처치가 집계되는지 확인한다</t>
        </is>
      </c>
      <c r="I218" s="3" t="inlineStr">
        <is>
          <t>1. 대상 처치</t>
        </is>
      </c>
      <c r="J218" s="3" t="inlineStr">
        <is>
          <t>카운트가 오른다</t>
        </is>
      </c>
      <c r="K218" s="16" t="inlineStr"/>
      <c r="L218" s="17" t="inlineStr"/>
      <c r="M218" s="3" t="inlineStr"/>
      <c r="N218" s="16" t="inlineStr"/>
    </row>
    <row r="219" ht="31.4" customHeight="1">
      <c r="A219" s="14" t="n">
        <v>215</v>
      </c>
      <c r="B219" s="14" t="inlineStr">
        <is>
          <t>퀘스트/튜토리얼</t>
        </is>
      </c>
      <c r="C219" s="14" t="inlineStr">
        <is>
          <t>목표 타입</t>
        </is>
      </c>
      <c r="D219" s="14" t="inlineStr">
        <is>
          <t>획득/사용</t>
        </is>
      </c>
      <c r="E219" s="14" t="inlineStr">
        <is>
          <t>기능</t>
        </is>
      </c>
      <c r="F219" s="15" t="inlineStr">
        <is>
          <t>High</t>
        </is>
      </c>
      <c r="G219" s="3" t="inlineStr">
        <is>
          <t>획득 퀘스트</t>
        </is>
      </c>
      <c r="H219" s="3" t="inlineStr">
        <is>
          <t>획득·사용이 집계되는지 확인한다</t>
        </is>
      </c>
      <c r="I219" s="3" t="inlineStr">
        <is>
          <t>1. 대상 획득
2. 사용</t>
        </is>
      </c>
      <c r="J219" s="3" t="inlineStr">
        <is>
          <t>각각 카운트된다</t>
        </is>
      </c>
      <c r="K219" s="16" t="inlineStr"/>
      <c r="L219" s="17" t="inlineStr"/>
      <c r="M219" s="3" t="inlineStr"/>
      <c r="N219" s="16" t="inlineStr"/>
    </row>
    <row r="220" ht="31.4" customHeight="1">
      <c r="A220" s="14" t="n">
        <v>216</v>
      </c>
      <c r="B220" s="14" t="inlineStr">
        <is>
          <t>퀘스트/튜토리얼</t>
        </is>
      </c>
      <c r="C220" s="14" t="inlineStr">
        <is>
          <t>목표 타입</t>
        </is>
      </c>
      <c r="D220" s="14" t="inlineStr">
        <is>
          <t>설비 설치</t>
        </is>
      </c>
      <c r="E220" s="14" t="inlineStr">
        <is>
          <t>기능</t>
        </is>
      </c>
      <c r="F220" s="15" t="inlineStr">
        <is>
          <t>High</t>
        </is>
      </c>
      <c r="G220" s="3" t="inlineStr">
        <is>
          <t>설치 퀘스트</t>
        </is>
      </c>
      <c r="H220" s="3" t="inlineStr">
        <is>
          <t>설비 설치가 집계되는지 확인한다</t>
        </is>
      </c>
      <c r="I220" s="3" t="inlineStr">
        <is>
          <t>1. 지정 설비 설치</t>
        </is>
      </c>
      <c r="J220" s="3" t="inlineStr">
        <is>
          <t>카운트가 오른다</t>
        </is>
      </c>
      <c r="K220" s="16" t="inlineStr"/>
      <c r="L220" s="17" t="inlineStr"/>
      <c r="M220" s="3" t="inlineStr"/>
      <c r="N220" s="16" t="inlineStr"/>
    </row>
    <row r="221" ht="31.4" customHeight="1">
      <c r="A221" s="14" t="n">
        <v>217</v>
      </c>
      <c r="B221" s="14" t="inlineStr">
        <is>
          <t>퀘스트/튜토리얼</t>
        </is>
      </c>
      <c r="C221" s="14" t="inlineStr">
        <is>
          <t>목표 타입</t>
        </is>
      </c>
      <c r="D221" s="14" t="inlineStr">
        <is>
          <t>이동/도달</t>
        </is>
      </c>
      <c r="E221" s="14" t="inlineStr">
        <is>
          <t>기능</t>
        </is>
      </c>
      <c r="F221" s="15" t="inlineStr">
        <is>
          <t>High</t>
        </is>
      </c>
      <c r="G221" s="3" t="inlineStr">
        <is>
          <t>도달 퀘스트</t>
        </is>
      </c>
      <c r="H221" s="3" t="inlineStr">
        <is>
          <t>지점 도달이 집계되는지 확인한다</t>
        </is>
      </c>
      <c r="I221" s="3" t="inlineStr">
        <is>
          <t>1. 지정 지점 진입</t>
        </is>
      </c>
      <c r="J221" s="3" t="inlineStr">
        <is>
          <t>달성 처리된다</t>
        </is>
      </c>
      <c r="K221" s="16" t="inlineStr"/>
      <c r="L221" s="17" t="inlineStr"/>
      <c r="M221" s="3" t="inlineStr"/>
      <c r="N221" s="16" t="inlineStr"/>
    </row>
    <row r="222" ht="31.4" customHeight="1">
      <c r="A222" s="14" t="n">
        <v>218</v>
      </c>
      <c r="B222" s="14" t="inlineStr">
        <is>
          <t>퀘스트/튜토리얼</t>
        </is>
      </c>
      <c r="C222" s="14" t="inlineStr">
        <is>
          <t>목표 타입</t>
        </is>
      </c>
      <c r="D222" s="14" t="inlineStr">
        <is>
          <t>키 입력</t>
        </is>
      </c>
      <c r="E222" s="14" t="inlineStr">
        <is>
          <t>기능</t>
        </is>
      </c>
      <c r="F222" s="14" t="inlineStr">
        <is>
          <t>Mid</t>
        </is>
      </c>
      <c r="G222" s="3" t="inlineStr">
        <is>
          <t>키 입력 퀘스트</t>
        </is>
      </c>
      <c r="H222" s="3" t="inlineStr">
        <is>
          <t>지정 키 입력이 집계되는지 확인한다</t>
        </is>
      </c>
      <c r="I222" s="3" t="inlineStr">
        <is>
          <t>1. 지정 키 입력</t>
        </is>
      </c>
      <c r="J222" s="3" t="inlineStr">
        <is>
          <t>달성 처리된다</t>
        </is>
      </c>
      <c r="K222" s="16" t="inlineStr"/>
      <c r="L222" s="17" t="inlineStr"/>
      <c r="M222" s="3" t="inlineStr"/>
      <c r="N222" s="16" t="inlineStr"/>
    </row>
    <row r="223" ht="31.4" customHeight="1">
      <c r="A223" s="14" t="n">
        <v>219</v>
      </c>
      <c r="B223" s="14" t="inlineStr">
        <is>
          <t>퀘스트/튜토리얼</t>
        </is>
      </c>
      <c r="C223" s="14" t="inlineStr">
        <is>
          <t>목표 타입</t>
        </is>
      </c>
      <c r="D223" s="14" t="inlineStr">
        <is>
          <t>퀵슬롯</t>
        </is>
      </c>
      <c r="E223" s="14" t="inlineStr">
        <is>
          <t>기능</t>
        </is>
      </c>
      <c r="F223" s="14" t="inlineStr">
        <is>
          <t>Mid</t>
        </is>
      </c>
      <c r="G223" s="3" t="inlineStr">
        <is>
          <t>퀵슬롯 퀘스트</t>
        </is>
      </c>
      <c r="H223" s="3" t="inlineStr">
        <is>
          <t>퀵슬롯 등록·사용이 집계되는지 확인한다</t>
        </is>
      </c>
      <c r="I223" s="3" t="inlineStr">
        <is>
          <t>1. 등록
2. 사용</t>
        </is>
      </c>
      <c r="J223" s="3" t="inlineStr">
        <is>
          <t>각각 달성된다</t>
        </is>
      </c>
      <c r="K223" s="16" t="inlineStr"/>
      <c r="L223" s="17" t="inlineStr"/>
      <c r="M223" s="3" t="inlineStr"/>
      <c r="N223" s="16" t="inlineStr"/>
    </row>
    <row r="224" ht="31.4" customHeight="1">
      <c r="A224" s="14" t="n">
        <v>220</v>
      </c>
      <c r="B224" s="14" t="inlineStr">
        <is>
          <t>퀘스트/튜토리얼</t>
        </is>
      </c>
      <c r="C224" s="14" t="inlineStr">
        <is>
          <t>목표 타입</t>
        </is>
      </c>
      <c r="D224" s="14" t="inlineStr">
        <is>
          <t>전송률/수리</t>
        </is>
      </c>
      <c r="E224" s="14" t="inlineStr">
        <is>
          <t>기능</t>
        </is>
      </c>
      <c r="F224" s="15" t="inlineStr">
        <is>
          <t>High</t>
        </is>
      </c>
      <c r="G224" s="3" t="inlineStr">
        <is>
          <t>전송·수리 퀘스트</t>
        </is>
      </c>
      <c r="H224" s="3" t="inlineStr">
        <is>
          <t>전송률·수리 단계가 집계되는지 확인한다</t>
        </is>
      </c>
      <c r="I224" s="3" t="inlineStr">
        <is>
          <t>1. 전송률 상승
2. 수리 단계 상승</t>
        </is>
      </c>
      <c r="J224" s="3" t="inlineStr">
        <is>
          <t>각각 달성된다</t>
        </is>
      </c>
      <c r="K224" s="16" t="inlineStr"/>
      <c r="L224" s="17" t="inlineStr"/>
      <c r="M224" s="3" t="inlineStr"/>
      <c r="N224" s="16" t="inlineStr"/>
    </row>
    <row r="225" ht="31.4" customHeight="1">
      <c r="A225" s="14" t="n">
        <v>221</v>
      </c>
      <c r="B225" s="14" t="inlineStr">
        <is>
          <t>퀘스트/튜토리얼</t>
        </is>
      </c>
      <c r="C225" s="14" t="inlineStr">
        <is>
          <t>튜토리얼</t>
        </is>
      </c>
      <c r="D225" s="14" t="inlineStr">
        <is>
          <t>가이드 투어</t>
        </is>
      </c>
      <c r="E225" s="14" t="inlineStr">
        <is>
          <t>기능</t>
        </is>
      </c>
      <c r="F225" s="15" t="inlineStr">
        <is>
          <t>High</t>
        </is>
      </c>
      <c r="G225" s="3" t="inlineStr">
        <is>
          <t>월드 첫 진입</t>
        </is>
      </c>
      <c r="H225" s="3" t="inlineStr">
        <is>
          <t>가이드가 순서대로 진행되는지 확인한다</t>
        </is>
      </c>
      <c r="I225" s="3" t="inlineStr">
        <is>
          <t>1. 안내대로 진행</t>
        </is>
      </c>
      <c r="J225" s="3" t="inlineStr">
        <is>
          <t>단계가 순서대로 넘어가고 완료된다</t>
        </is>
      </c>
      <c r="K225" s="16" t="inlineStr"/>
      <c r="L225" s="17" t="inlineStr"/>
      <c r="M225" s="3" t="inlineStr"/>
      <c r="N225" s="16" t="inlineStr"/>
    </row>
    <row r="226" ht="31.4" customHeight="1">
      <c r="A226" s="14" t="n">
        <v>222</v>
      </c>
      <c r="B226" s="14" t="inlineStr">
        <is>
          <t>퀘스트/튜토리얼</t>
        </is>
      </c>
      <c r="C226" s="14" t="inlineStr">
        <is>
          <t>튜토리얼</t>
        </is>
      </c>
      <c r="D226" s="14" t="inlineStr">
        <is>
          <t>오버레이</t>
        </is>
      </c>
      <c r="E226" s="14" t="inlineStr">
        <is>
          <t>연출</t>
        </is>
      </c>
      <c r="F226" s="14" t="inlineStr">
        <is>
          <t>Mid</t>
        </is>
      </c>
      <c r="G226" s="3" t="inlineStr">
        <is>
          <t>튜토리얼 진행</t>
        </is>
      </c>
      <c r="H226" s="3" t="inlineStr">
        <is>
          <t>안내 오버레이가 대상 위에 뜨는지 확인한다</t>
        </is>
      </c>
      <c r="I226" s="3" t="inlineStr">
        <is>
          <t>1. 각 단계 관찰</t>
        </is>
      </c>
      <c r="J226" s="3" t="inlineStr">
        <is>
          <t>대상 UI 가 강조되고 문구가 뜬다</t>
        </is>
      </c>
      <c r="K226" s="16" t="inlineStr"/>
      <c r="L226" s="17" t="inlineStr"/>
      <c r="M226" s="3" t="inlineStr"/>
      <c r="N226" s="16" t="inlineStr"/>
    </row>
    <row r="227" ht="31.4" customHeight="1">
      <c r="A227" s="14" t="n">
        <v>223</v>
      </c>
      <c r="B227" s="14" t="inlineStr">
        <is>
          <t>퀘스트/튜토리얼</t>
        </is>
      </c>
      <c r="C227" s="14" t="inlineStr">
        <is>
          <t>튜토리얼</t>
        </is>
      </c>
      <c r="D227" s="14" t="inlineStr">
        <is>
          <t>영상 재생</t>
        </is>
      </c>
      <c r="E227" s="14" t="inlineStr">
        <is>
          <t>연출</t>
        </is>
      </c>
      <c r="F227" s="14" t="inlineStr">
        <is>
          <t>Mid</t>
        </is>
      </c>
      <c r="G227" s="3" t="inlineStr">
        <is>
          <t>영상 단계</t>
        </is>
      </c>
      <c r="H227" s="3" t="inlineStr">
        <is>
          <t>튜토리얼 영상이 재생되는지 확인한다</t>
        </is>
      </c>
      <c r="I227" s="3" t="inlineStr">
        <is>
          <t>1. 영상 단계 진입</t>
        </is>
      </c>
      <c r="J227" s="3" t="inlineStr">
        <is>
          <t>영상이 끝까지 재생된다</t>
        </is>
      </c>
      <c r="K227" s="16" t="inlineStr"/>
      <c r="L227" s="17" t="inlineStr"/>
      <c r="M227" s="3" t="inlineStr"/>
      <c r="N227" s="16" t="inlineStr"/>
    </row>
    <row r="228" ht="31.4" customHeight="1">
      <c r="A228" s="14" t="n">
        <v>224</v>
      </c>
      <c r="B228" s="14" t="inlineStr">
        <is>
          <t>퀘스트/튜토리얼</t>
        </is>
      </c>
      <c r="C228" s="14" t="inlineStr">
        <is>
          <t>튜토리얼</t>
        </is>
      </c>
      <c r="D228" s="14" t="inlineStr">
        <is>
          <t>스킵</t>
        </is>
      </c>
      <c r="E228" s="14" t="inlineStr">
        <is>
          <t>기능</t>
        </is>
      </c>
      <c r="F228" s="14" t="inlineStr">
        <is>
          <t>Mid</t>
        </is>
      </c>
      <c r="G228" s="3" t="inlineStr">
        <is>
          <t>튜토리얼 진행</t>
        </is>
      </c>
      <c r="H228" s="3" t="inlineStr">
        <is>
          <t>스킵하면 건너뛰는지 확인한다</t>
        </is>
      </c>
      <c r="I228" s="3" t="inlineStr">
        <is>
          <t>1. 스킵</t>
        </is>
      </c>
      <c r="J228" s="3" t="inlineStr">
        <is>
          <t>다음 단계로 넘어가고 보상 누락이 없다</t>
        </is>
      </c>
      <c r="K228" s="16" t="inlineStr"/>
      <c r="L228" s="17" t="inlineStr"/>
      <c r="M228" s="3" t="inlineStr"/>
      <c r="N228" s="16" t="inlineStr"/>
    </row>
    <row r="229" ht="31.4" customHeight="1">
      <c r="A229" s="14" t="n">
        <v>225</v>
      </c>
      <c r="B229" s="14" t="inlineStr">
        <is>
          <t>퀘스트/튜토리얼</t>
        </is>
      </c>
      <c r="C229" s="14" t="inlineStr">
        <is>
          <t>저장</t>
        </is>
      </c>
      <c r="D229" s="14" t="inlineStr">
        <is>
          <t>퀘스트 복원</t>
        </is>
      </c>
      <c r="E229" s="14" t="inlineStr">
        <is>
          <t>상태</t>
        </is>
      </c>
      <c r="F229" s="15" t="inlineStr">
        <is>
          <t>High</t>
        </is>
      </c>
      <c r="G229" s="3" t="inlineStr">
        <is>
          <t>퀘스트 진행 중</t>
        </is>
      </c>
      <c r="H229" s="3" t="inlineStr">
        <is>
          <t>저장 후 퀘스트가 복원되는지 확인한다</t>
        </is>
      </c>
      <c r="I229" s="3" t="inlineStr">
        <is>
          <t>1. 저장·종료
2. 이어하기</t>
        </is>
      </c>
      <c r="J229" s="3" t="inlineStr">
        <is>
          <t>진행도와 추적기가 그대로다</t>
        </is>
      </c>
      <c r="K229" s="16" t="inlineStr"/>
      <c r="L229" s="17" t="inlineStr"/>
      <c r="M229" s="3" t="inlineStr"/>
      <c r="N229" s="16" t="inlineStr"/>
    </row>
    <row r="230" ht="31.4" customHeight="1">
      <c r="A230" s="14" t="n">
        <v>226</v>
      </c>
      <c r="B230" s="14" t="inlineStr">
        <is>
          <t>퀘스트/튜토리얼</t>
        </is>
      </c>
      <c r="C230" s="14" t="inlineStr">
        <is>
          <t>안내</t>
        </is>
      </c>
      <c r="D230" s="14" t="inlineStr">
        <is>
          <t>힌트 화살표</t>
        </is>
      </c>
      <c r="E230" s="14" t="inlineStr">
        <is>
          <t>연출</t>
        </is>
      </c>
      <c r="F230" s="14" t="inlineStr">
        <is>
          <t>Mid</t>
        </is>
      </c>
      <c r="G230" s="3" t="inlineStr">
        <is>
          <t>목표 지점 존재</t>
        </is>
      </c>
      <c r="H230" s="3" t="inlineStr">
        <is>
          <t>화살표가 목표를 가리키는지 확인한다</t>
        </is>
      </c>
      <c r="I230" s="3" t="inlineStr">
        <is>
          <t>1. 화면 관찰</t>
        </is>
      </c>
      <c r="J230" s="3" t="inlineStr">
        <is>
          <t>목표 방향으로 화살표가 뜬다</t>
        </is>
      </c>
      <c r="K230" s="16" t="inlineStr"/>
      <c r="L230" s="17" t="inlineStr"/>
      <c r="M230" s="3" t="inlineStr"/>
      <c r="N230" s="16" t="inlineStr"/>
    </row>
    <row r="231" ht="31.4" customHeight="1">
      <c r="A231" s="14" t="n">
        <v>227</v>
      </c>
      <c r="B231" s="14" t="inlineStr">
        <is>
          <t>퀘스트/튜토리얼</t>
        </is>
      </c>
      <c r="C231" s="14" t="inlineStr">
        <is>
          <t>안내</t>
        </is>
      </c>
      <c r="D231" s="14" t="inlineStr">
        <is>
          <t>목표 갱신</t>
        </is>
      </c>
      <c r="E231" s="14" t="inlineStr">
        <is>
          <t>연출</t>
        </is>
      </c>
      <c r="F231" s="14" t="inlineStr">
        <is>
          <t>Mid</t>
        </is>
      </c>
      <c r="G231" s="3" t="inlineStr">
        <is>
          <t>목표 달성</t>
        </is>
      </c>
      <c r="H231" s="3" t="inlineStr">
        <is>
          <t>달성 시 안내가 갱신되는지 확인한다</t>
        </is>
      </c>
      <c r="I231" s="3" t="inlineStr">
        <is>
          <t>1. 목표 달성</t>
        </is>
      </c>
      <c r="J231" s="3" t="inlineStr">
        <is>
          <t>다음 목표 문구로 바뀐다</t>
        </is>
      </c>
      <c r="K231" s="16" t="inlineStr"/>
      <c r="L231" s="17" t="inlineStr"/>
      <c r="M231" s="3" t="inlineStr"/>
      <c r="N231" s="16" t="inlineStr"/>
    </row>
    <row r="232" ht="18.2" customHeight="1">
      <c r="A232" s="18" t="n">
        <v>228</v>
      </c>
      <c r="B232" s="18" t="inlineStr">
        <is>
          <t>이동/지역</t>
        </is>
      </c>
      <c r="C232" s="18" t="inlineStr">
        <is>
          <t>워프</t>
        </is>
      </c>
      <c r="D232" s="18" t="inlineStr">
        <is>
          <t>활성화</t>
        </is>
      </c>
      <c r="E232" s="18" t="inlineStr">
        <is>
          <t>기능</t>
        </is>
      </c>
      <c r="F232" s="15" t="inlineStr">
        <is>
          <t>High</t>
        </is>
      </c>
      <c r="G232" s="19" t="inlineStr">
        <is>
          <t>워프 지점 최초 도달</t>
        </is>
      </c>
      <c r="H232" s="19" t="inlineStr">
        <is>
          <t>밟으면 활성화되는지 확인한다</t>
        </is>
      </c>
      <c r="I232" s="19" t="inlineStr">
        <is>
          <t>1. 워프 지점 진입</t>
        </is>
      </c>
      <c r="J232" s="19" t="inlineStr">
        <is>
          <t>활성화 연출과 안내가 뜬다</t>
        </is>
      </c>
      <c r="K232" s="16" t="inlineStr"/>
      <c r="L232" s="17" t="inlineStr"/>
      <c r="M232" s="19" t="inlineStr"/>
      <c r="N232" s="16" t="inlineStr"/>
    </row>
    <row r="233" ht="31.4" customHeight="1">
      <c r="A233" s="18" t="n">
        <v>229</v>
      </c>
      <c r="B233" s="18" t="inlineStr">
        <is>
          <t>이동/지역</t>
        </is>
      </c>
      <c r="C233" s="18" t="inlineStr">
        <is>
          <t>워프</t>
        </is>
      </c>
      <c r="D233" s="18" t="inlineStr">
        <is>
          <t>이동</t>
        </is>
      </c>
      <c r="E233" s="18" t="inlineStr">
        <is>
          <t>기능</t>
        </is>
      </c>
      <c r="F233" s="15" t="inlineStr">
        <is>
          <t>High</t>
        </is>
      </c>
      <c r="G233" s="19" t="inlineStr">
        <is>
          <t>워프 2개 활성</t>
        </is>
      </c>
      <c r="H233" s="19" t="inlineStr">
        <is>
          <t>워프 간 이동이 되는지 확인한다</t>
        </is>
      </c>
      <c r="I233" s="19" t="inlineStr">
        <is>
          <t>1. 워프 UI
2. 목적지 선택</t>
        </is>
      </c>
      <c r="J233" s="19" t="inlineStr">
        <is>
          <t>페이드 후 목적지에 도착한다</t>
        </is>
      </c>
      <c r="K233" s="16" t="inlineStr"/>
      <c r="L233" s="17" t="inlineStr"/>
      <c r="M233" s="19" t="inlineStr"/>
      <c r="N233" s="16" t="inlineStr"/>
    </row>
    <row r="234" ht="31.4" customHeight="1">
      <c r="A234" s="18" t="n">
        <v>230</v>
      </c>
      <c r="B234" s="18" t="inlineStr">
        <is>
          <t>이동/지역</t>
        </is>
      </c>
      <c r="C234" s="18" t="inlineStr">
        <is>
          <t>워프</t>
        </is>
      </c>
      <c r="D234" s="18" t="inlineStr">
        <is>
          <t>저장 복원</t>
        </is>
      </c>
      <c r="E234" s="18" t="inlineStr">
        <is>
          <t>상태</t>
        </is>
      </c>
      <c r="F234" s="15" t="inlineStr">
        <is>
          <t>High</t>
        </is>
      </c>
      <c r="G234" s="19" t="inlineStr">
        <is>
          <t>워프 활성 후</t>
        </is>
      </c>
      <c r="H234" s="19" t="inlineStr">
        <is>
          <t>활성 상태가 저장되는지 확인한다</t>
        </is>
      </c>
      <c r="I234" s="19" t="inlineStr">
        <is>
          <t>1. 저장·종료
2. 이어하기</t>
        </is>
      </c>
      <c r="J234" s="19" t="inlineStr">
        <is>
          <t>활성 목록이 유지된다</t>
        </is>
      </c>
      <c r="K234" s="16" t="inlineStr"/>
      <c r="L234" s="17" t="inlineStr"/>
      <c r="M234" s="19" t="inlineStr"/>
      <c r="N234" s="16" t="inlineStr"/>
    </row>
    <row r="235" ht="31.4" customHeight="1">
      <c r="A235" s="18" t="n">
        <v>231</v>
      </c>
      <c r="B235" s="18" t="inlineStr">
        <is>
          <t>이동/지역</t>
        </is>
      </c>
      <c r="C235" s="18" t="inlineStr">
        <is>
          <t>귀환석</t>
        </is>
      </c>
      <c r="D235" s="18" t="inlineStr">
        <is>
          <t>채널링</t>
        </is>
      </c>
      <c r="E235" s="18" t="inlineStr">
        <is>
          <t>기능</t>
        </is>
      </c>
      <c r="F235" s="15" t="inlineStr">
        <is>
          <t>High</t>
        </is>
      </c>
      <c r="G235" s="19" t="inlineStr">
        <is>
          <t>귀환석 사용 가능</t>
        </is>
      </c>
      <c r="H235" s="19" t="inlineStr">
        <is>
          <t>채널링 후 기지로 가는지 확인한다</t>
        </is>
      </c>
      <c r="I235" s="19" t="inlineStr">
        <is>
          <t>1. 귀환석 사용
2. 채널링 완료까지 대기</t>
        </is>
      </c>
      <c r="J235" s="19" t="inlineStr">
        <is>
          <t>게이지가 차고 기지로 이동한다</t>
        </is>
      </c>
      <c r="K235" s="16" t="inlineStr"/>
      <c r="L235" s="17" t="inlineStr"/>
      <c r="M235" s="19" t="inlineStr"/>
      <c r="N235" s="16" t="inlineStr"/>
    </row>
    <row r="236" ht="18.2" customHeight="1">
      <c r="A236" s="18" t="n">
        <v>232</v>
      </c>
      <c r="B236" s="18" t="inlineStr">
        <is>
          <t>이동/지역</t>
        </is>
      </c>
      <c r="C236" s="18" t="inlineStr">
        <is>
          <t>귀환석</t>
        </is>
      </c>
      <c r="D236" s="18" t="inlineStr">
        <is>
          <t>채널링 취소</t>
        </is>
      </c>
      <c r="E236" s="18" t="inlineStr">
        <is>
          <t>기능</t>
        </is>
      </c>
      <c r="F236" s="18" t="inlineStr">
        <is>
          <t>Mid</t>
        </is>
      </c>
      <c r="G236" s="19" t="inlineStr">
        <is>
          <t>채널링 중</t>
        </is>
      </c>
      <c r="H236" s="19" t="inlineStr">
        <is>
          <t>이동하면 취소되는지 확인한다</t>
        </is>
      </c>
      <c r="I236" s="19" t="inlineStr">
        <is>
          <t>1. 채널링 중 이동</t>
        </is>
      </c>
      <c r="J236" s="19" t="inlineStr">
        <is>
          <t>게이지가 사라지고 쿨타임이 안 걸린다</t>
        </is>
      </c>
      <c r="K236" s="16" t="inlineStr"/>
      <c r="L236" s="17" t="inlineStr"/>
      <c r="M236" s="19" t="inlineStr"/>
      <c r="N236" s="16" t="inlineStr"/>
    </row>
    <row r="237" ht="44.59999999999999" customHeight="1">
      <c r="A237" s="18" t="n">
        <v>233</v>
      </c>
      <c r="B237" s="18" t="inlineStr">
        <is>
          <t>이동/지역</t>
        </is>
      </c>
      <c r="C237" s="18" t="inlineStr">
        <is>
          <t>귀환석</t>
        </is>
      </c>
      <c r="D237" s="18" t="inlineStr">
        <is>
          <t>쿨타임 차감</t>
        </is>
      </c>
      <c r="E237" s="18" t="inlineStr">
        <is>
          <t>데이터</t>
        </is>
      </c>
      <c r="F237" s="18" t="inlineStr">
        <is>
          <t>Mid</t>
        </is>
      </c>
      <c r="G237" s="19" t="inlineStr">
        <is>
          <t>귀환석 사용 후</t>
        </is>
      </c>
      <c r="H237" s="19" t="inlineStr">
        <is>
          <t>결계 밖 시간만 차감되는지 확인한다</t>
        </is>
      </c>
      <c r="I237" s="19" t="inlineStr">
        <is>
          <t>1. 결계 안에서 1분
2. 결계 밖에서 1분
3. 쿨타임 확인</t>
        </is>
      </c>
      <c r="J237" s="19" t="inlineStr">
        <is>
          <t>밖에서만 1분 줄어든다</t>
        </is>
      </c>
      <c r="K237" s="16" t="inlineStr"/>
      <c r="L237" s="17" t="inlineStr"/>
      <c r="M237" s="19" t="inlineStr"/>
      <c r="N237" s="16" t="inlineStr"/>
    </row>
    <row r="238" ht="31.4" customHeight="1">
      <c r="A238" s="18" t="n">
        <v>234</v>
      </c>
      <c r="B238" s="18" t="inlineStr">
        <is>
          <t>이동/지역</t>
        </is>
      </c>
      <c r="C238" s="18" t="inlineStr">
        <is>
          <t>귀환석</t>
        </is>
      </c>
      <c r="D238" s="18" t="inlineStr">
        <is>
          <t>레벨별 쿨타임</t>
        </is>
      </c>
      <c r="E238" s="18" t="inlineStr">
        <is>
          <t>데이터</t>
        </is>
      </c>
      <c r="F238" s="18" t="inlineStr">
        <is>
          <t>Mid</t>
        </is>
      </c>
      <c r="G238" s="19" t="inlineStr">
        <is>
          <t>귀환석 레벨 다름</t>
        </is>
      </c>
      <c r="H238" s="19" t="inlineStr">
        <is>
          <t>레벨별 쿨타임이 15/10/5분인지 확인한다</t>
        </is>
      </c>
      <c r="I238" s="19" t="inlineStr">
        <is>
          <t>1. 각 레벨에서 사용
2. 쿨타임 확인</t>
        </is>
      </c>
      <c r="J238" s="19" t="inlineStr">
        <is>
          <t>Lv1 15분 · Lv2 10분 · Lv3 5분 이다</t>
        </is>
      </c>
      <c r="K238" s="16" t="inlineStr"/>
      <c r="L238" s="17" t="inlineStr"/>
      <c r="M238" s="19" t="inlineStr"/>
      <c r="N238" s="16" t="inlineStr"/>
    </row>
    <row r="239" ht="31.4" customHeight="1">
      <c r="A239" s="18" t="n">
        <v>235</v>
      </c>
      <c r="B239" s="18" t="inlineStr">
        <is>
          <t>이동/지역</t>
        </is>
      </c>
      <c r="C239" s="18" t="inlineStr">
        <is>
          <t>귀환석</t>
        </is>
      </c>
      <c r="D239" s="18" t="inlineStr">
        <is>
          <t>쿨타임 회복</t>
        </is>
      </c>
      <c r="E239" s="18" t="inlineStr">
        <is>
          <t>상태</t>
        </is>
      </c>
      <c r="F239" s="18" t="inlineStr">
        <is>
          <t>Mid</t>
        </is>
      </c>
      <c r="G239" s="19" t="inlineStr">
        <is>
          <t>쿨타임 중</t>
        </is>
      </c>
      <c r="H239" s="19" t="inlineStr">
        <is>
          <t>쿨타임이 끝나면 다시 쓸 수 있는지 확인한다</t>
        </is>
      </c>
      <c r="I239" s="19" t="inlineStr">
        <is>
          <t>1. 종료까지 대기
2. 재사용</t>
        </is>
      </c>
      <c r="J239" s="19" t="inlineStr">
        <is>
          <t>쿨타임 표시가 사라진 뒤 사용하면 채널링을 거쳐 기지로 이동한다</t>
        </is>
      </c>
      <c r="K239" s="16" t="inlineStr"/>
      <c r="L239" s="17" t="inlineStr"/>
      <c r="M239" s="19" t="inlineStr"/>
      <c r="N239" s="16" t="inlineStr"/>
    </row>
    <row r="240" ht="31.4" customHeight="1">
      <c r="A240" s="18" t="n">
        <v>236</v>
      </c>
      <c r="B240" s="18" t="inlineStr">
        <is>
          <t>이동/지역</t>
        </is>
      </c>
      <c r="C240" s="18" t="inlineStr">
        <is>
          <t>결계</t>
        </is>
      </c>
      <c r="D240" s="18" t="inlineStr">
        <is>
          <t>안팎 판정</t>
        </is>
      </c>
      <c r="E240" s="18" t="inlineStr">
        <is>
          <t>경계</t>
        </is>
      </c>
      <c r="F240" s="15" t="inlineStr">
        <is>
          <t>High</t>
        </is>
      </c>
      <c r="G240" s="19" t="inlineStr">
        <is>
          <t>결계 경계선</t>
        </is>
      </c>
      <c r="H240" s="19" t="inlineStr">
        <is>
          <t>경계에서 판정이 갈리는지 확인한다</t>
        </is>
      </c>
      <c r="I240" s="19" t="inlineStr">
        <is>
          <t>1. 경계선을 천천히 넘나든다</t>
        </is>
      </c>
      <c r="J240" s="19" t="inlineStr">
        <is>
          <t>안에서는 회복, 밖에서는 감소로 즉시 바뀐다</t>
        </is>
      </c>
      <c r="K240" s="16" t="inlineStr"/>
      <c r="L240" s="17" t="inlineStr"/>
      <c r="M240" s="19" t="inlineStr"/>
      <c r="N240" s="16" t="inlineStr"/>
    </row>
    <row r="241" ht="31.4" customHeight="1">
      <c r="A241" s="18" t="n">
        <v>237</v>
      </c>
      <c r="B241" s="18" t="inlineStr">
        <is>
          <t>이동/지역</t>
        </is>
      </c>
      <c r="C241" s="18" t="inlineStr">
        <is>
          <t>결계</t>
        </is>
      </c>
      <c r="D241" s="18" t="inlineStr">
        <is>
          <t>안내 표시</t>
        </is>
      </c>
      <c r="E241" s="18" t="inlineStr">
        <is>
          <t>연출</t>
        </is>
      </c>
      <c r="F241" s="18" t="inlineStr">
        <is>
          <t>Mid</t>
        </is>
      </c>
      <c r="G241" s="19" t="inlineStr">
        <is>
          <t>결계 진출입</t>
        </is>
      </c>
      <c r="H241" s="19" t="inlineStr">
        <is>
          <t>나가고 들어올 때 안내가 뜨는지 확인한다</t>
        </is>
      </c>
      <c r="I241" s="19" t="inlineStr">
        <is>
          <t>1. 결계 밖으로
2. 안으로</t>
        </is>
      </c>
      <c r="J241" s="19" t="inlineStr">
        <is>
          <t>각각 안내 문구가 뜬다</t>
        </is>
      </c>
      <c r="K241" s="16" t="inlineStr"/>
      <c r="L241" s="17" t="inlineStr"/>
      <c r="M241" s="19" t="inlineStr"/>
      <c r="N241" s="16" t="inlineStr"/>
    </row>
    <row r="242" ht="31.4" customHeight="1">
      <c r="A242" s="18" t="n">
        <v>238</v>
      </c>
      <c r="B242" s="18" t="inlineStr">
        <is>
          <t>이동/지역</t>
        </is>
      </c>
      <c r="C242" s="18" t="inlineStr">
        <is>
          <t>지역</t>
        </is>
      </c>
      <c r="D242" s="18" t="inlineStr">
        <is>
          <t>진입/이탈</t>
        </is>
      </c>
      <c r="E242" s="18" t="inlineStr">
        <is>
          <t>기능</t>
        </is>
      </c>
      <c r="F242" s="15" t="inlineStr">
        <is>
          <t>High</t>
        </is>
      </c>
      <c r="G242" s="19" t="inlineStr">
        <is>
          <t>지역 경계</t>
        </is>
      </c>
      <c r="H242" s="19" t="inlineStr">
        <is>
          <t>지역이 바뀌면 이름과 BGM 이 바뀌는지 확인한다</t>
        </is>
      </c>
      <c r="I242" s="19" t="inlineStr">
        <is>
          <t>1. 자연 → 설원 이동</t>
        </is>
      </c>
      <c r="J242" s="19" t="inlineStr">
        <is>
          <t>지역명 표시와 BGM 이 바뀐다</t>
        </is>
      </c>
      <c r="K242" s="16" t="inlineStr"/>
      <c r="L242" s="17" t="inlineStr"/>
      <c r="M242" s="19" t="inlineStr"/>
      <c r="N242" s="16" t="inlineStr"/>
    </row>
    <row r="243" ht="31.4" customHeight="1">
      <c r="A243" s="18" t="n">
        <v>239</v>
      </c>
      <c r="B243" s="18" t="inlineStr">
        <is>
          <t>이동/지역</t>
        </is>
      </c>
      <c r="C243" s="18" t="inlineStr">
        <is>
          <t>지역</t>
        </is>
      </c>
      <c r="D243" s="18" t="inlineStr">
        <is>
          <t>동굴</t>
        </is>
      </c>
      <c r="E243" s="18" t="inlineStr">
        <is>
          <t>기능</t>
        </is>
      </c>
      <c r="F243" s="18" t="inlineStr">
        <is>
          <t>Mid</t>
        </is>
      </c>
      <c r="G243" s="19" t="inlineStr">
        <is>
          <t>동굴 입구</t>
        </is>
      </c>
      <c r="H243" s="19" t="inlineStr">
        <is>
          <t>동굴 진입과 내부 이동이 되는지 확인한다</t>
        </is>
      </c>
      <c r="I243" s="19" t="inlineStr">
        <is>
          <t>1. 동굴 진입
2. 내부 순회</t>
        </is>
      </c>
      <c r="J243" s="19" t="inlineStr">
        <is>
          <t>막힘 없이 이동하고 콜라이더에 걸리지 않는다</t>
        </is>
      </c>
      <c r="K243" s="16" t="inlineStr"/>
      <c r="L243" s="17" t="inlineStr"/>
      <c r="M243" s="19" t="inlineStr"/>
      <c r="N243" s="16" t="inlineStr"/>
    </row>
    <row r="244" ht="18.2" customHeight="1">
      <c r="A244" s="18" t="n">
        <v>240</v>
      </c>
      <c r="B244" s="18" t="inlineStr">
        <is>
          <t>이동/지역</t>
        </is>
      </c>
      <c r="C244" s="18" t="inlineStr">
        <is>
          <t>지역</t>
        </is>
      </c>
      <c r="D244" s="18" t="inlineStr">
        <is>
          <t>맵 관통</t>
        </is>
      </c>
      <c r="E244" s="18" t="inlineStr">
        <is>
          <t>경계</t>
        </is>
      </c>
      <c r="F244" s="15" t="inlineStr">
        <is>
          <t>High</t>
        </is>
      </c>
      <c r="G244" s="19" t="inlineStr">
        <is>
          <t>맵 경계</t>
        </is>
      </c>
      <c r="H244" s="19" t="inlineStr">
        <is>
          <t>맵 밖으로 나갈 수 없는지 확인한다</t>
        </is>
      </c>
      <c r="I244" s="19" t="inlineStr">
        <is>
          <t>1. 경계 콜라이더로 전진·점프</t>
        </is>
      </c>
      <c r="J244" s="19" t="inlineStr">
        <is>
          <t>밖으로 나가지 않는다</t>
        </is>
      </c>
      <c r="K244" s="16" t="inlineStr"/>
      <c r="L244" s="17" t="inlineStr"/>
      <c r="M244" s="19" t="inlineStr"/>
      <c r="N244" s="16" t="inlineStr"/>
    </row>
    <row r="245" ht="31.4" customHeight="1">
      <c r="A245" s="18" t="n">
        <v>241</v>
      </c>
      <c r="B245" s="18" t="inlineStr">
        <is>
          <t>이동/지역</t>
        </is>
      </c>
      <c r="C245" s="18" t="inlineStr">
        <is>
          <t>베이스</t>
        </is>
      </c>
      <c r="D245" s="18" t="inlineStr">
        <is>
          <t>기지 시설</t>
        </is>
      </c>
      <c r="E245" s="18" t="inlineStr">
        <is>
          <t>기능</t>
        </is>
      </c>
      <c r="F245" s="15" t="inlineStr">
        <is>
          <t>High</t>
        </is>
      </c>
      <c r="G245" s="19" t="inlineStr">
        <is>
          <t>기지</t>
        </is>
      </c>
      <c r="H245" s="19" t="inlineStr">
        <is>
          <t>기지 시설과 상호작용되는지 확인한다</t>
        </is>
      </c>
      <c r="I245" s="19" t="inlineStr">
        <is>
          <t>1. 각 시설에 F</t>
        </is>
      </c>
      <c r="J245" s="19" t="inlineStr">
        <is>
          <t>각 시설과 상호작용하면 해당 UI 가 열리고 ESC 로 닫힌다</t>
        </is>
      </c>
      <c r="K245" s="16" t="inlineStr"/>
      <c r="L245" s="17" t="inlineStr"/>
      <c r="M245" s="19" t="inlineStr"/>
      <c r="N245" s="16" t="inlineStr"/>
    </row>
    <row r="246" ht="18.2" customHeight="1">
      <c r="A246" s="14" t="n">
        <v>242</v>
      </c>
      <c r="B246" s="14" t="inlineStr">
        <is>
          <t>우주선/엔딩</t>
        </is>
      </c>
      <c r="C246" s="14" t="inlineStr">
        <is>
          <t>수리</t>
        </is>
      </c>
      <c r="D246" s="14" t="inlineStr">
        <is>
          <t>터미널 UI</t>
        </is>
      </c>
      <c r="E246" s="14" t="inlineStr">
        <is>
          <t>기능</t>
        </is>
      </c>
      <c r="F246" s="15" t="inlineStr">
        <is>
          <t>High</t>
        </is>
      </c>
      <c r="G246" s="3" t="inlineStr">
        <is>
          <t>우주선 접근</t>
        </is>
      </c>
      <c r="H246" s="3" t="inlineStr">
        <is>
          <t>수리 터미널이 열리는지 확인한다</t>
        </is>
      </c>
      <c r="I246" s="3" t="inlineStr">
        <is>
          <t>1. 터미널 F</t>
        </is>
      </c>
      <c r="J246" s="3" t="inlineStr">
        <is>
          <t>수리 UI 와 현재 단계가 표시된다</t>
        </is>
      </c>
      <c r="K246" s="16" t="inlineStr"/>
      <c r="L246" s="17" t="inlineStr"/>
      <c r="M246" s="3" t="inlineStr"/>
      <c r="N246" s="16" t="inlineStr"/>
    </row>
    <row r="247" ht="31.4" customHeight="1">
      <c r="A247" s="14" t="n">
        <v>243</v>
      </c>
      <c r="B247" s="14" t="inlineStr">
        <is>
          <t>우주선/엔딩</t>
        </is>
      </c>
      <c r="C247" s="14" t="inlineStr">
        <is>
          <t>수리</t>
        </is>
      </c>
      <c r="D247" s="14" t="inlineStr">
        <is>
          <t>부품 투입</t>
        </is>
      </c>
      <c r="E247" s="14" t="inlineStr">
        <is>
          <t>기능</t>
        </is>
      </c>
      <c r="F247" s="15" t="inlineStr">
        <is>
          <t>High</t>
        </is>
      </c>
      <c r="G247" s="3" t="inlineStr">
        <is>
          <t>부품 보유</t>
        </is>
      </c>
      <c r="H247" s="3" t="inlineStr">
        <is>
          <t>부품을 넣으면 단계가 오르는지 확인한다</t>
        </is>
      </c>
      <c r="I247" s="3" t="inlineStr">
        <is>
          <t>1. 부품 투입</t>
        </is>
      </c>
      <c r="J247" s="3" t="inlineStr">
        <is>
          <t>단계가 +1 되고 부품이 차감된다</t>
        </is>
      </c>
      <c r="K247" s="16" t="inlineStr"/>
      <c r="L247" s="17" t="inlineStr"/>
      <c r="M247" s="3" t="inlineStr"/>
      <c r="N247" s="16" t="inlineStr"/>
    </row>
    <row r="248" ht="18.2" customHeight="1">
      <c r="A248" s="14" t="n">
        <v>244</v>
      </c>
      <c r="B248" s="14" t="inlineStr">
        <is>
          <t>우주선/엔딩</t>
        </is>
      </c>
      <c r="C248" s="14" t="inlineStr">
        <is>
          <t>수리</t>
        </is>
      </c>
      <c r="D248" s="14" t="inlineStr">
        <is>
          <t>외형 변화</t>
        </is>
      </c>
      <c r="E248" s="14" t="inlineStr">
        <is>
          <t>연출</t>
        </is>
      </c>
      <c r="F248" s="14" t="inlineStr">
        <is>
          <t>Mid</t>
        </is>
      </c>
      <c r="G248" s="3" t="inlineStr">
        <is>
          <t>단계 상승</t>
        </is>
      </c>
      <c r="H248" s="3" t="inlineStr">
        <is>
          <t>단계마다 외형이 바뀌는지 확인한다</t>
        </is>
      </c>
      <c r="I248" s="3" t="inlineStr">
        <is>
          <t>1. 단계 올린 뒤 우주선 관찰</t>
        </is>
      </c>
      <c r="J248" s="3" t="inlineStr">
        <is>
          <t>외형이 바뀐다</t>
        </is>
      </c>
      <c r="K248" s="16" t="inlineStr"/>
      <c r="L248" s="17" t="inlineStr"/>
      <c r="M248" s="3" t="inlineStr"/>
      <c r="N248" s="16" t="inlineStr"/>
    </row>
    <row r="249" ht="18.2" customHeight="1">
      <c r="A249" s="14" t="n">
        <v>245</v>
      </c>
      <c r="B249" s="14" t="inlineStr">
        <is>
          <t>우주선/엔딩</t>
        </is>
      </c>
      <c r="C249" s="14" t="inlineStr">
        <is>
          <t>수리</t>
        </is>
      </c>
      <c r="D249" s="14" t="inlineStr">
        <is>
          <t>최종 단계</t>
        </is>
      </c>
      <c r="E249" s="14" t="inlineStr">
        <is>
          <t>기능</t>
        </is>
      </c>
      <c r="F249" s="15" t="inlineStr">
        <is>
          <t>High</t>
        </is>
      </c>
      <c r="G249" s="3" t="inlineStr">
        <is>
          <t>9단계</t>
        </is>
      </c>
      <c r="H249" s="3" t="inlineStr">
        <is>
          <t>마지막 부품으로 완료되는지 확인한다</t>
        </is>
      </c>
      <c r="I249" s="3" t="inlineStr">
        <is>
          <t>1. 마지막 부품 투입</t>
        </is>
      </c>
      <c r="J249" s="3" t="inlineStr">
        <is>
          <t>완료 처리되고 엔딩 조건이 열린다</t>
        </is>
      </c>
      <c r="K249" s="16" t="inlineStr"/>
      <c r="L249" s="17" t="inlineStr"/>
      <c r="M249" s="3" t="inlineStr"/>
      <c r="N249" s="16" t="inlineStr"/>
    </row>
    <row r="250" ht="44.59999999999999" customHeight="1">
      <c r="A250" s="14" t="n">
        <v>246</v>
      </c>
      <c r="B250" s="14" t="inlineStr">
        <is>
          <t>우주선/엔딩</t>
        </is>
      </c>
      <c r="C250" s="14" t="inlineStr">
        <is>
          <t>수리</t>
        </is>
      </c>
      <c r="D250" s="14" t="inlineStr">
        <is>
          <t>공장 속도 향상</t>
        </is>
      </c>
      <c r="E250" s="14" t="inlineStr">
        <is>
          <t>데이터</t>
        </is>
      </c>
      <c r="F250" s="15" t="inlineStr">
        <is>
          <t>High</t>
        </is>
      </c>
      <c r="G250" s="3" t="inlineStr">
        <is>
          <t>레벨업 직후</t>
        </is>
      </c>
      <c r="H250" s="3" t="inlineStr">
        <is>
          <t>레벨업이 공장 속도에 반영되는지 확인한다</t>
        </is>
      </c>
      <c r="I250" s="3" t="inlineStr">
        <is>
          <t>1. 레벨업 전 제작 시간 측정
2. 레벨업
3. 재측정</t>
        </is>
      </c>
      <c r="J250" s="3" t="inlineStr">
        <is>
          <t>테이블 factorySpeed 비율만큼 짧아진다</t>
        </is>
      </c>
      <c r="K250" s="16" t="inlineStr"/>
      <c r="L250" s="17" t="inlineStr"/>
      <c r="M250" s="3" t="inlineStr"/>
      <c r="N250" s="16" t="inlineStr"/>
    </row>
    <row r="251" ht="44.59999999999999" customHeight="1">
      <c r="A251" s="14" t="n">
        <v>247</v>
      </c>
      <c r="B251" s="14" t="inlineStr">
        <is>
          <t>우주선/엔딩</t>
        </is>
      </c>
      <c r="C251" s="14" t="inlineStr">
        <is>
          <t>수리</t>
        </is>
      </c>
      <c r="D251" s="14" t="inlineStr">
        <is>
          <t>건설 구역 확장</t>
        </is>
      </c>
      <c r="E251" s="14" t="inlineStr">
        <is>
          <t>데이터</t>
        </is>
      </c>
      <c r="F251" s="15" t="inlineStr">
        <is>
          <t>High</t>
        </is>
      </c>
      <c r="G251" s="3" t="inlineStr">
        <is>
          <t>레벨업 직후</t>
        </is>
      </c>
      <c r="H251" s="3" t="inlineStr">
        <is>
          <t>레벨업이 건설 구역에 반영되는지 확인한다</t>
        </is>
      </c>
      <c r="I251" s="3" t="inlineStr">
        <is>
          <t>1. 레벨업 전 칸 수 확인
2. 레벨업
3. 재확인</t>
        </is>
      </c>
      <c r="J251" s="3" t="inlineStr">
        <is>
          <t>zoneCells 값(18 → 22 → 26 …)으로 늘어난다</t>
        </is>
      </c>
      <c r="K251" s="16" t="inlineStr"/>
      <c r="L251" s="17" t="inlineStr"/>
      <c r="M251" s="3" t="inlineStr"/>
      <c r="N251" s="16" t="inlineStr"/>
    </row>
    <row r="252" ht="31.4" customHeight="1">
      <c r="A252" s="14" t="n">
        <v>248</v>
      </c>
      <c r="B252" s="14" t="inlineStr">
        <is>
          <t>우주선/엔딩</t>
        </is>
      </c>
      <c r="C252" s="14" t="inlineStr">
        <is>
          <t>수리</t>
        </is>
      </c>
      <c r="D252" s="14" t="inlineStr">
        <is>
          <t>특수 부품 단계</t>
        </is>
      </c>
      <c r="E252" s="14" t="inlineStr">
        <is>
          <t>데이터</t>
        </is>
      </c>
      <c r="F252" s="14" t="inlineStr">
        <is>
          <t>Mid</t>
        </is>
      </c>
      <c r="G252" s="3" t="inlineStr">
        <is>
          <t>Lv6·8·10</t>
        </is>
      </c>
      <c r="H252" s="3" t="inlineStr">
        <is>
          <t>특수 부품을 요구하는 단계가 맞는지 확인한다</t>
        </is>
      </c>
      <c r="I252" s="3" t="inlineStr">
        <is>
          <t>1. 해당 단계에서 요구 부품 확인</t>
        </is>
      </c>
      <c r="J252" s="3" t="inlineStr">
        <is>
          <t>선체 보강재 · 동력 안정기 · 엔진을 요구한다</t>
        </is>
      </c>
      <c r="K252" s="16" t="inlineStr"/>
      <c r="L252" s="17" t="inlineStr"/>
      <c r="M252" s="3" t="inlineStr"/>
      <c r="N252" s="16" t="inlineStr"/>
    </row>
    <row r="253" ht="31.4" customHeight="1">
      <c r="A253" s="14" t="n">
        <v>249</v>
      </c>
      <c r="B253" s="14" t="inlineStr">
        <is>
          <t>우주선/엔딩</t>
        </is>
      </c>
      <c r="C253" s="14" t="inlineStr">
        <is>
          <t>전송</t>
        </is>
      </c>
      <c r="D253" s="14" t="inlineStr">
        <is>
          <t>전송률 증가</t>
        </is>
      </c>
      <c r="E253" s="14" t="inlineStr">
        <is>
          <t>데이터</t>
        </is>
      </c>
      <c r="F253" s="15" t="inlineStr">
        <is>
          <t>High</t>
        </is>
      </c>
      <c r="G253" s="3" t="inlineStr">
        <is>
          <t>충전 키트 보유</t>
        </is>
      </c>
      <c r="H253" s="3" t="inlineStr">
        <is>
          <t>키트 투입이 전송률을 올리는지 확인한다</t>
        </is>
      </c>
      <c r="I253" s="3" t="inlineStr">
        <is>
          <t>1. 키트 투입</t>
        </is>
      </c>
      <c r="J253" s="3" t="inlineStr">
        <is>
          <t>전송률이 정의된 만큼 오른다</t>
        </is>
      </c>
      <c r="K253" s="16" t="inlineStr"/>
      <c r="L253" s="17" t="inlineStr"/>
      <c r="M253" s="3" t="inlineStr"/>
      <c r="N253" s="16" t="inlineStr"/>
    </row>
    <row r="254" ht="18.2" customHeight="1">
      <c r="A254" s="14" t="n">
        <v>250</v>
      </c>
      <c r="B254" s="14" t="inlineStr">
        <is>
          <t>우주선/엔딩</t>
        </is>
      </c>
      <c r="C254" s="14" t="inlineStr">
        <is>
          <t>전송</t>
        </is>
      </c>
      <c r="D254" s="14" t="inlineStr">
        <is>
          <t>충전키트 제작</t>
        </is>
      </c>
      <c r="E254" s="14" t="inlineStr">
        <is>
          <t>기능</t>
        </is>
      </c>
      <c r="F254" s="15" t="inlineStr">
        <is>
          <t>High</t>
        </is>
      </c>
      <c r="G254" s="3" t="inlineStr">
        <is>
          <t>합성기 가동</t>
        </is>
      </c>
      <c r="H254" s="3" t="inlineStr">
        <is>
          <t>충전 키트가 제작되는지 확인한다</t>
        </is>
      </c>
      <c r="I254" s="3" t="inlineStr">
        <is>
          <t>1. 빈 시간 키트 + 에너지 조각 투입</t>
        </is>
      </c>
      <c r="J254" s="3" t="inlineStr">
        <is>
          <t>지역별 충전 키트가 나온다</t>
        </is>
      </c>
      <c r="K254" s="16" t="inlineStr"/>
      <c r="L254" s="17" t="inlineStr"/>
      <c r="M254" s="3" t="inlineStr"/>
      <c r="N254" s="16" t="inlineStr"/>
    </row>
    <row r="255" ht="31.4" customHeight="1">
      <c r="A255" s="14" t="n">
        <v>251</v>
      </c>
      <c r="B255" s="14" t="inlineStr">
        <is>
          <t>우주선/엔딩</t>
        </is>
      </c>
      <c r="C255" s="14" t="inlineStr">
        <is>
          <t>전송</t>
        </is>
      </c>
      <c r="D255" s="14" t="inlineStr">
        <is>
          <t>단계 보상</t>
        </is>
      </c>
      <c r="E255" s="14" t="inlineStr">
        <is>
          <t>기능</t>
        </is>
      </c>
      <c r="F255" s="15" t="inlineStr">
        <is>
          <t>High</t>
        </is>
      </c>
      <c r="G255" s="3" t="inlineStr">
        <is>
          <t>전송률 단계 도달</t>
        </is>
      </c>
      <c r="H255" s="3" t="inlineStr">
        <is>
          <t>단계마다 보상·해금이 나오는지 확인한다</t>
        </is>
      </c>
      <c r="I255" s="3" t="inlineStr">
        <is>
          <t>1. 5% / 15% 도달</t>
        </is>
      </c>
      <c r="J255" s="3" t="inlineStr">
        <is>
          <t>설비 해금이 안내되고 보상이 지급된다</t>
        </is>
      </c>
      <c r="K255" s="16" t="inlineStr"/>
      <c r="L255" s="17" t="inlineStr"/>
      <c r="M255" s="3" t="inlineStr"/>
      <c r="N255" s="16" t="inlineStr"/>
    </row>
    <row r="256" ht="18.2" customHeight="1">
      <c r="A256" s="14" t="n">
        <v>252</v>
      </c>
      <c r="B256" s="14" t="inlineStr">
        <is>
          <t>우주선/엔딩</t>
        </is>
      </c>
      <c r="C256" s="14" t="inlineStr">
        <is>
          <t>전송</t>
        </is>
      </c>
      <c r="D256" s="14" t="inlineStr">
        <is>
          <t>전송 마커</t>
        </is>
      </c>
      <c r="E256" s="14" t="inlineStr">
        <is>
          <t>연출</t>
        </is>
      </c>
      <c r="F256" s="14" t="inlineStr">
        <is>
          <t>Mid</t>
        </is>
      </c>
      <c r="G256" s="3" t="inlineStr">
        <is>
          <t>인게임</t>
        </is>
      </c>
      <c r="H256" s="3" t="inlineStr">
        <is>
          <t>전송기 위치 마커가 보이는지 확인한다</t>
        </is>
      </c>
      <c r="I256" s="3" t="inlineStr">
        <is>
          <t>1. 화면 관찰</t>
        </is>
      </c>
      <c r="J256" s="3" t="inlineStr">
        <is>
          <t>전송기 방향 마커가 표시된다</t>
        </is>
      </c>
      <c r="K256" s="16" t="inlineStr"/>
      <c r="L256" s="17" t="inlineStr"/>
      <c r="M256" s="3" t="inlineStr"/>
      <c r="N256" s="16" t="inlineStr"/>
    </row>
    <row r="257" ht="18.2" customHeight="1">
      <c r="A257" s="14" t="n">
        <v>253</v>
      </c>
      <c r="B257" s="14" t="inlineStr">
        <is>
          <t>우주선/엔딩</t>
        </is>
      </c>
      <c r="C257" s="14" t="inlineStr">
        <is>
          <t>엔딩</t>
        </is>
      </c>
      <c r="D257" s="14" t="inlineStr">
        <is>
          <t>조건 충족</t>
        </is>
      </c>
      <c r="E257" s="14" t="inlineStr">
        <is>
          <t>기능</t>
        </is>
      </c>
      <c r="F257" s="15" t="inlineStr">
        <is>
          <t>High</t>
        </is>
      </c>
      <c r="G257" s="3" t="inlineStr">
        <is>
          <t>수리 완료</t>
        </is>
      </c>
      <c r="H257" s="3" t="inlineStr">
        <is>
          <t>엔딩 조건이 인식되는지 확인한다</t>
        </is>
      </c>
      <c r="I257" s="3" t="inlineStr">
        <is>
          <t>1. 수리 완료 후 우주선 F</t>
        </is>
      </c>
      <c r="J257" s="3" t="inlineStr">
        <is>
          <t>엔딩 진입 선택지가 뜬다</t>
        </is>
      </c>
      <c r="K257" s="16" t="inlineStr"/>
      <c r="L257" s="17" t="inlineStr"/>
      <c r="M257" s="3" t="inlineStr"/>
      <c r="N257" s="16" t="inlineStr"/>
    </row>
    <row r="258" ht="18.2" customHeight="1">
      <c r="A258" s="14" t="n">
        <v>254</v>
      </c>
      <c r="B258" s="14" t="inlineStr">
        <is>
          <t>우주선/엔딩</t>
        </is>
      </c>
      <c r="C258" s="14" t="inlineStr">
        <is>
          <t>엔딩</t>
        </is>
      </c>
      <c r="D258" s="14" t="inlineStr">
        <is>
          <t>엔딩 재생</t>
        </is>
      </c>
      <c r="E258" s="14" t="inlineStr">
        <is>
          <t>연출</t>
        </is>
      </c>
      <c r="F258" s="15" t="inlineStr">
        <is>
          <t>High</t>
        </is>
      </c>
      <c r="G258" s="3" t="inlineStr">
        <is>
          <t>엔딩 진입</t>
        </is>
      </c>
      <c r="H258" s="3" t="inlineStr">
        <is>
          <t>엔딩이 끝까지 재생되는지 확인한다</t>
        </is>
      </c>
      <c r="I258" s="3" t="inlineStr">
        <is>
          <t>1. 엔딩 진입</t>
        </is>
      </c>
      <c r="J258" s="3" t="inlineStr">
        <is>
          <t>영상·크레딧이 끊김 없이 끝난다</t>
        </is>
      </c>
      <c r="K258" s="16" t="inlineStr"/>
      <c r="L258" s="17" t="inlineStr"/>
      <c r="M258" s="3" t="inlineStr"/>
      <c r="N258" s="16" t="inlineStr"/>
    </row>
    <row r="259" ht="31.4" customHeight="1">
      <c r="A259" s="14" t="n">
        <v>255</v>
      </c>
      <c r="B259" s="14" t="inlineStr">
        <is>
          <t>우주선/엔딩</t>
        </is>
      </c>
      <c r="C259" s="14" t="inlineStr">
        <is>
          <t>엔딩</t>
        </is>
      </c>
      <c r="D259" s="14" t="inlineStr">
        <is>
          <t>엔딩 후 상태</t>
        </is>
      </c>
      <c r="E259" s="14" t="inlineStr">
        <is>
          <t>상태</t>
        </is>
      </c>
      <c r="F259" s="14" t="inlineStr">
        <is>
          <t>Mid</t>
        </is>
      </c>
      <c r="G259" s="3" t="inlineStr">
        <is>
          <t>엔딩 종료</t>
        </is>
      </c>
      <c r="H259" s="3" t="inlineStr">
        <is>
          <t>엔딩 후 게임이 어떻게 되는지 확인한다</t>
        </is>
      </c>
      <c r="I259" s="3" t="inlineStr">
        <is>
          <t>1. 엔딩 종료</t>
        </is>
      </c>
      <c r="J259" s="3" t="inlineStr">
        <is>
          <t>정책대로 타이틀 또는 자유 플레이로 돌아온다</t>
        </is>
      </c>
      <c r="K259" s="16" t="inlineStr"/>
      <c r="L259" s="17" t="inlineStr"/>
      <c r="M259" s="3" t="inlineStr"/>
      <c r="N259" s="16" t="inlineStr"/>
    </row>
    <row r="260" ht="31.4" customHeight="1">
      <c r="A260" s="18" t="n">
        <v>256</v>
      </c>
      <c r="B260" s="18" t="inlineStr">
        <is>
          <t>UI 공통</t>
        </is>
      </c>
      <c r="C260" s="18" t="inlineStr">
        <is>
          <t>창 관리</t>
        </is>
      </c>
      <c r="D260" s="18" t="inlineStr">
        <is>
          <t>ESC 순서</t>
        </is>
      </c>
      <c r="E260" s="18" t="inlineStr">
        <is>
          <t>기능</t>
        </is>
      </c>
      <c r="F260" s="15" t="inlineStr">
        <is>
          <t>High</t>
        </is>
      </c>
      <c r="G260" s="19" t="inlineStr">
        <is>
          <t>창 여러 개</t>
        </is>
      </c>
      <c r="H260" s="19" t="inlineStr">
        <is>
          <t>ESC 가 최근 창부터 닫는지 확인한다</t>
        </is>
      </c>
      <c r="I260" s="19" t="inlineStr">
        <is>
          <t>1. 인벤 → 설정 순으로 열기
2. ESC 2회</t>
        </is>
      </c>
      <c r="J260" s="19" t="inlineStr">
        <is>
          <t>설정 → 인벤 순으로 닫힌다</t>
        </is>
      </c>
      <c r="K260" s="16" t="inlineStr"/>
      <c r="L260" s="17" t="inlineStr"/>
      <c r="M260" s="19" t="inlineStr"/>
      <c r="N260" s="16" t="inlineStr"/>
    </row>
    <row r="261" ht="18.2" customHeight="1">
      <c r="A261" s="18" t="n">
        <v>257</v>
      </c>
      <c r="B261" s="18" t="inlineStr">
        <is>
          <t>UI 공통</t>
        </is>
      </c>
      <c r="C261" s="18" t="inlineStr">
        <is>
          <t>창 관리</t>
        </is>
      </c>
      <c r="D261" s="18" t="inlineStr">
        <is>
          <t>정렬 순서</t>
        </is>
      </c>
      <c r="E261" s="18" t="inlineStr">
        <is>
          <t>연출</t>
        </is>
      </c>
      <c r="F261" s="18" t="inlineStr">
        <is>
          <t>Mid</t>
        </is>
      </c>
      <c r="G261" s="19" t="inlineStr">
        <is>
          <t>창 여러 개</t>
        </is>
      </c>
      <c r="H261" s="19" t="inlineStr">
        <is>
          <t>나중 연 창이 위에 오는지 확인한다</t>
        </is>
      </c>
      <c r="I261" s="19" t="inlineStr">
        <is>
          <t>1. 인벤 → 도감 열기</t>
        </is>
      </c>
      <c r="J261" s="19" t="inlineStr">
        <is>
          <t>도감이 인벤 위에 그려진다</t>
        </is>
      </c>
      <c r="K261" s="16" t="inlineStr"/>
      <c r="L261" s="17" t="inlineStr"/>
      <c r="M261" s="19" t="inlineStr"/>
      <c r="N261" s="16" t="inlineStr"/>
    </row>
    <row r="262" ht="31.4" customHeight="1">
      <c r="A262" s="18" t="n">
        <v>258</v>
      </c>
      <c r="B262" s="18" t="inlineStr">
        <is>
          <t>UI 공통</t>
        </is>
      </c>
      <c r="C262" s="18" t="inlineStr">
        <is>
          <t>창 관리</t>
        </is>
      </c>
      <c r="D262" s="18" t="inlineStr">
        <is>
          <t>시간 정지</t>
        </is>
      </c>
      <c r="E262" s="18" t="inlineStr">
        <is>
          <t>기능</t>
        </is>
      </c>
      <c r="F262" s="15" t="inlineStr">
        <is>
          <t>High</t>
        </is>
      </c>
      <c r="G262" s="19" t="inlineStr">
        <is>
          <t>설정 창</t>
        </is>
      </c>
      <c r="H262" s="19" t="inlineStr">
        <is>
          <t>설정을 열면 게임이 멈추는지 확인한다</t>
        </is>
      </c>
      <c r="I262" s="19" t="inlineStr">
        <is>
          <t>1. 결계 밖에서 설정 열기
2. 10초 대기</t>
        </is>
      </c>
      <c r="J262" s="19" t="inlineStr">
        <is>
          <t>HP 가 줄지 않고 설비도 멈춘다</t>
        </is>
      </c>
      <c r="K262" s="16" t="inlineStr"/>
      <c r="L262" s="17" t="inlineStr"/>
      <c r="M262" s="19" t="inlineStr"/>
      <c r="N262" s="16" t="inlineStr"/>
    </row>
    <row r="263" ht="31.4" customHeight="1">
      <c r="A263" s="18" t="n">
        <v>259</v>
      </c>
      <c r="B263" s="18" t="inlineStr">
        <is>
          <t>UI 공통</t>
        </is>
      </c>
      <c r="C263" s="18" t="inlineStr">
        <is>
          <t>HUD</t>
        </is>
      </c>
      <c r="D263" s="18" t="inlineStr">
        <is>
          <t>자동 페이드</t>
        </is>
      </c>
      <c r="E263" s="18" t="inlineStr">
        <is>
          <t>연출</t>
        </is>
      </c>
      <c r="F263" s="18" t="inlineStr">
        <is>
          <t>Mid</t>
        </is>
      </c>
      <c r="G263" s="19" t="inlineStr">
        <is>
          <t>인게임</t>
        </is>
      </c>
      <c r="H263" s="19" t="inlineStr">
        <is>
          <t>안 쓰는 HUD 가 서서히 사라지는지 확인한다</t>
        </is>
      </c>
      <c r="I263" s="19" t="inlineStr">
        <is>
          <t>1. 정지 상태 10초</t>
        </is>
      </c>
      <c r="J263" s="19" t="inlineStr">
        <is>
          <t>관련 HUD 가 페이드 아웃되고 조작하면 돌아온다</t>
        </is>
      </c>
      <c r="K263" s="16" t="inlineStr"/>
      <c r="L263" s="17" t="inlineStr"/>
      <c r="M263" s="19" t="inlineStr"/>
      <c r="N263" s="16" t="inlineStr"/>
    </row>
    <row r="264" ht="31.4" customHeight="1">
      <c r="A264" s="18" t="n">
        <v>260</v>
      </c>
      <c r="B264" s="18" t="inlineStr">
        <is>
          <t>UI 공통</t>
        </is>
      </c>
      <c r="C264" s="18" t="inlineStr">
        <is>
          <t>HUD</t>
        </is>
      </c>
      <c r="D264" s="18" t="inlineStr">
        <is>
          <t>상호작용 힌트</t>
        </is>
      </c>
      <c r="E264" s="18" t="inlineStr">
        <is>
          <t>연출</t>
        </is>
      </c>
      <c r="F264" s="18" t="inlineStr">
        <is>
          <t>Mid</t>
        </is>
      </c>
      <c r="G264" s="19" t="inlineStr">
        <is>
          <t>대상 근처</t>
        </is>
      </c>
      <c r="H264" s="19" t="inlineStr">
        <is>
          <t>힌트 HUD 가 대상에 맞게 뜨는지 확인한다</t>
        </is>
      </c>
      <c r="I264" s="19" t="inlineStr">
        <is>
          <t>1. 여러 대상에 접근</t>
        </is>
      </c>
      <c r="J264" s="19" t="inlineStr">
        <is>
          <t>대상별 이름·키가 표시된다</t>
        </is>
      </c>
      <c r="K264" s="16" t="inlineStr"/>
      <c r="L264" s="17" t="inlineStr"/>
      <c r="M264" s="19" t="inlineStr"/>
      <c r="N264" s="16" t="inlineStr"/>
    </row>
    <row r="265" ht="31.4" customHeight="1">
      <c r="A265" s="18" t="n">
        <v>261</v>
      </c>
      <c r="B265" s="18" t="inlineStr">
        <is>
          <t>UI 공통</t>
        </is>
      </c>
      <c r="C265" s="18" t="inlineStr">
        <is>
          <t>연출</t>
        </is>
      </c>
      <c r="D265" s="18" t="inlineStr">
        <is>
          <t>버튼 반응</t>
        </is>
      </c>
      <c r="E265" s="18" t="inlineStr">
        <is>
          <t>연출</t>
        </is>
      </c>
      <c r="F265" s="18" t="inlineStr">
        <is>
          <t>Low</t>
        </is>
      </c>
      <c r="G265" s="19" t="inlineStr">
        <is>
          <t>UI 열림</t>
        </is>
      </c>
      <c r="H265" s="19" t="inlineStr">
        <is>
          <t>버튼에 호버·클릭 반응이 있는지 확인한다</t>
        </is>
      </c>
      <c r="I265" s="19" t="inlineStr">
        <is>
          <t>1. 호버
2. 클릭</t>
        </is>
      </c>
      <c r="J265" s="19" t="inlineStr">
        <is>
          <t>색·크기 변화가 나온다</t>
        </is>
      </c>
      <c r="K265" s="16" t="inlineStr"/>
      <c r="L265" s="17" t="inlineStr"/>
      <c r="M265" s="19" t="inlineStr"/>
      <c r="N265" s="16" t="inlineStr"/>
    </row>
    <row r="266" ht="31.4" customHeight="1">
      <c r="A266" s="18" t="n">
        <v>262</v>
      </c>
      <c r="B266" s="18" t="inlineStr">
        <is>
          <t>UI 공통</t>
        </is>
      </c>
      <c r="C266" s="18" t="inlineStr">
        <is>
          <t>연출</t>
        </is>
      </c>
      <c r="D266" s="18" t="inlineStr">
        <is>
          <t>패널 애니메이션</t>
        </is>
      </c>
      <c r="E266" s="18" t="inlineStr">
        <is>
          <t>연출</t>
        </is>
      </c>
      <c r="F266" s="18" t="inlineStr">
        <is>
          <t>Low</t>
        </is>
      </c>
      <c r="G266" s="19" t="inlineStr">
        <is>
          <t>UI 열림</t>
        </is>
      </c>
      <c r="H266" s="19" t="inlineStr">
        <is>
          <t>패널이 열리고 닫힐 때 연출이 나오는지 확인한다</t>
        </is>
      </c>
      <c r="I266" s="19" t="inlineStr">
        <is>
          <t>1. 열기·닫기</t>
        </is>
      </c>
      <c r="J266" s="19" t="inlineStr">
        <is>
          <t>펼침·접힘 애니메이션이 재생된다</t>
        </is>
      </c>
      <c r="K266" s="16" t="inlineStr"/>
      <c r="L266" s="17" t="inlineStr"/>
      <c r="M266" s="19" t="inlineStr"/>
      <c r="N266" s="16" t="inlineStr"/>
    </row>
    <row r="267" ht="31.4" customHeight="1">
      <c r="A267" s="18" t="n">
        <v>263</v>
      </c>
      <c r="B267" s="18" t="inlineStr">
        <is>
          <t>UI 공통</t>
        </is>
      </c>
      <c r="C267" s="18" t="inlineStr">
        <is>
          <t>현지화</t>
        </is>
      </c>
      <c r="D267" s="18" t="inlineStr">
        <is>
          <t>언어 전환</t>
        </is>
      </c>
      <c r="E267" s="18" t="inlineStr">
        <is>
          <t>기능</t>
        </is>
      </c>
      <c r="F267" s="15" t="inlineStr">
        <is>
          <t>High</t>
        </is>
      </c>
      <c r="G267" s="19" t="inlineStr">
        <is>
          <t>설정 창</t>
        </is>
      </c>
      <c r="H267" s="19" t="inlineStr">
        <is>
          <t>언어를 바꾸면 즉시 반영되는지 확인한다</t>
        </is>
      </c>
      <c r="I267" s="19" t="inlineStr">
        <is>
          <t>1. 영어로 변경
2. 주요 화면 순회</t>
        </is>
      </c>
      <c r="J267" s="19" t="inlineStr">
        <is>
          <t>모든 텍스트가 영어로 바뀐다</t>
        </is>
      </c>
      <c r="K267" s="16" t="inlineStr"/>
      <c r="L267" s="17" t="inlineStr"/>
      <c r="M267" s="19" t="inlineStr"/>
      <c r="N267" s="16" t="inlineStr"/>
    </row>
    <row r="268" ht="31.4" customHeight="1">
      <c r="A268" s="18" t="n">
        <v>264</v>
      </c>
      <c r="B268" s="18" t="inlineStr">
        <is>
          <t>UI 공통</t>
        </is>
      </c>
      <c r="C268" s="18" t="inlineStr">
        <is>
          <t>현지화</t>
        </is>
      </c>
      <c r="D268" s="18" t="inlineStr">
        <is>
          <t>동적 텍스트</t>
        </is>
      </c>
      <c r="E268" s="18" t="inlineStr">
        <is>
          <t>기능</t>
        </is>
      </c>
      <c r="F268" s="18" t="inlineStr">
        <is>
          <t>Mid</t>
        </is>
      </c>
      <c r="G268" s="19" t="inlineStr">
        <is>
          <t>언어 전환</t>
        </is>
      </c>
      <c r="H268" s="19" t="inlineStr">
        <is>
          <t>월드 이름 같은 동적 텍스트가 깨지지 않는지 확인한다</t>
        </is>
      </c>
      <c r="I268" s="19" t="inlineStr">
        <is>
          <t>1. 한글 월드 이름으로 영어 전환</t>
        </is>
      </c>
      <c r="J268" s="19" t="inlineStr">
        <is>
          <t>이름이 그대로 표시된다</t>
        </is>
      </c>
      <c r="K268" s="16" t="inlineStr"/>
      <c r="L268" s="17" t="inlineStr"/>
      <c r="M268" s="19" t="inlineStr"/>
      <c r="N268" s="16" t="inlineStr"/>
    </row>
    <row r="269" ht="31.4" customHeight="1">
      <c r="A269" s="18" t="n">
        <v>265</v>
      </c>
      <c r="B269" s="18" t="inlineStr">
        <is>
          <t>UI 공통</t>
        </is>
      </c>
      <c r="C269" s="18" t="inlineStr">
        <is>
          <t>현지화</t>
        </is>
      </c>
      <c r="D269" s="18" t="inlineStr">
        <is>
          <t>숫자/단위</t>
        </is>
      </c>
      <c r="E269" s="18" t="inlineStr">
        <is>
          <t>데이터</t>
        </is>
      </c>
      <c r="F269" s="18" t="inlineStr">
        <is>
          <t>Mid</t>
        </is>
      </c>
      <c r="G269" s="19" t="inlineStr">
        <is>
          <t>각 언어</t>
        </is>
      </c>
      <c r="H269" s="19" t="inlineStr">
        <is>
          <t>숫자·시간 표기가 언어에 맞는지 확인한다</t>
        </is>
      </c>
      <c r="I269" s="19" t="inlineStr">
        <is>
          <t>1. 재화·시간 표기 확인</t>
        </is>
      </c>
      <c r="J269" s="19" t="inlineStr">
        <is>
          <t>천 단위 구분과 시간 표기가 선택한 언어의 방식으로 표시된다</t>
        </is>
      </c>
      <c r="K269" s="16" t="inlineStr"/>
      <c r="L269" s="17" t="inlineStr"/>
      <c r="M269" s="19" t="inlineStr"/>
      <c r="N269" s="16" t="inlineStr"/>
    </row>
    <row r="270" ht="31.4" customHeight="1">
      <c r="A270" s="18" t="n">
        <v>266</v>
      </c>
      <c r="B270" s="18" t="inlineStr">
        <is>
          <t>UI 공통</t>
        </is>
      </c>
      <c r="C270" s="18" t="inlineStr">
        <is>
          <t>현지화</t>
        </is>
      </c>
      <c r="D270" s="18" t="inlineStr">
        <is>
          <t>영어</t>
        </is>
      </c>
      <c r="E270" s="18" t="inlineStr">
        <is>
          <t>연출</t>
        </is>
      </c>
      <c r="F270" s="15" t="inlineStr">
        <is>
          <t>High</t>
        </is>
      </c>
      <c r="G270" s="19" t="inlineStr">
        <is>
          <t>영어 선택</t>
        </is>
      </c>
      <c r="H270" s="19" t="inlineStr">
        <is>
          <t>영어에서 키 원문 노출·글자 깨짐·잘림이 없는지 확인한다</t>
        </is>
      </c>
      <c r="I270" s="19" t="inlineStr">
        <is>
          <t>1. 주요 화면을 순회하며 확인
2. 긴 문장이 있는 화면을 집중 확인</t>
        </is>
      </c>
      <c r="J270" s="19" t="inlineStr">
        <is>
          <t>영어로 표시되고 키 원문 노출·글자 깨짐·문자열 잘림이 없다</t>
        </is>
      </c>
      <c r="K270" s="16" t="inlineStr"/>
      <c r="L270" s="17" t="inlineStr"/>
      <c r="M270" s="19" t="inlineStr"/>
      <c r="N270" s="16" t="inlineStr"/>
    </row>
    <row r="271" ht="31.4" customHeight="1">
      <c r="A271" s="18" t="n">
        <v>267</v>
      </c>
      <c r="B271" s="18" t="inlineStr">
        <is>
          <t>UI 공통</t>
        </is>
      </c>
      <c r="C271" s="18" t="inlineStr">
        <is>
          <t>현지화</t>
        </is>
      </c>
      <c r="D271" s="18" t="inlineStr">
        <is>
          <t>중국어</t>
        </is>
      </c>
      <c r="E271" s="18" t="inlineStr">
        <is>
          <t>연출</t>
        </is>
      </c>
      <c r="F271" s="15" t="inlineStr">
        <is>
          <t>High</t>
        </is>
      </c>
      <c r="G271" s="19" t="inlineStr">
        <is>
          <t>중국어 선택</t>
        </is>
      </c>
      <c r="H271" s="19" t="inlineStr">
        <is>
          <t>중국어에서 키 원문 노출·글자 깨짐·잘림이 없는지 확인한다</t>
        </is>
      </c>
      <c r="I271" s="19" t="inlineStr">
        <is>
          <t>1. 주요 화면을 순회하며 확인
2. 긴 문장이 있는 화면을 집중 확인</t>
        </is>
      </c>
      <c r="J271" s="19" t="inlineStr">
        <is>
          <t>중국어로 표시되고 키 원문 노출·글자 깨짐·문자열 잘림이 없다</t>
        </is>
      </c>
      <c r="K271" s="16" t="inlineStr"/>
      <c r="L271" s="17" t="inlineStr"/>
      <c r="M271" s="19" t="inlineStr"/>
      <c r="N271" s="16" t="inlineStr"/>
    </row>
    <row r="272" ht="31.4" customHeight="1">
      <c r="A272" s="18" t="n">
        <v>268</v>
      </c>
      <c r="B272" s="18" t="inlineStr">
        <is>
          <t>UI 공통</t>
        </is>
      </c>
      <c r="C272" s="18" t="inlineStr">
        <is>
          <t>현지화</t>
        </is>
      </c>
      <c r="D272" s="18" t="inlineStr">
        <is>
          <t>프랑스어</t>
        </is>
      </c>
      <c r="E272" s="18" t="inlineStr">
        <is>
          <t>연출</t>
        </is>
      </c>
      <c r="F272" s="15" t="inlineStr">
        <is>
          <t>High</t>
        </is>
      </c>
      <c r="G272" s="19" t="inlineStr">
        <is>
          <t>프랑스어 선택</t>
        </is>
      </c>
      <c r="H272" s="19" t="inlineStr">
        <is>
          <t>프랑스어에서 키 원문 노출·글자 깨짐·잘림이 없는지 확인한다</t>
        </is>
      </c>
      <c r="I272" s="19" t="inlineStr">
        <is>
          <t>1. 주요 화면을 순회하며 확인
2. 긴 문장이 있는 화면을 집중 확인</t>
        </is>
      </c>
      <c r="J272" s="19" t="inlineStr">
        <is>
          <t>프랑스어로 표시되고 키 원문 노출·글자 깨짐·문자열 잘림이 없다</t>
        </is>
      </c>
      <c r="K272" s="16" t="inlineStr"/>
      <c r="L272" s="17" t="inlineStr"/>
      <c r="M272" s="19" t="inlineStr"/>
      <c r="N272" s="16" t="inlineStr"/>
    </row>
    <row r="273" ht="18.2" customHeight="1">
      <c r="A273" s="18" t="n">
        <v>269</v>
      </c>
      <c r="B273" s="18" t="inlineStr">
        <is>
          <t>UI 공통</t>
        </is>
      </c>
      <c r="C273" s="18" t="inlineStr">
        <is>
          <t>알림</t>
        </is>
      </c>
      <c r="D273" s="18" t="inlineStr">
        <is>
          <t>토스트</t>
        </is>
      </c>
      <c r="E273" s="18" t="inlineStr">
        <is>
          <t>연출</t>
        </is>
      </c>
      <c r="F273" s="18" t="inlineStr">
        <is>
          <t>Mid</t>
        </is>
      </c>
      <c r="G273" s="19" t="inlineStr">
        <is>
          <t>알림 발생</t>
        </is>
      </c>
      <c r="H273" s="19" t="inlineStr">
        <is>
          <t>토스트가 뜨고 사라지는지 확인한다</t>
        </is>
      </c>
      <c r="I273" s="19" t="inlineStr">
        <is>
          <t>1. 아이템 획득</t>
        </is>
      </c>
      <c r="J273" s="19" t="inlineStr">
        <is>
          <t>토스트가 뜨고 몇 초 뒤 사라진다</t>
        </is>
      </c>
      <c r="K273" s="16" t="inlineStr"/>
      <c r="L273" s="17" t="inlineStr"/>
      <c r="M273" s="19" t="inlineStr"/>
      <c r="N273" s="16" t="inlineStr"/>
    </row>
    <row r="274" ht="18.2" customHeight="1">
      <c r="A274" s="18" t="n">
        <v>270</v>
      </c>
      <c r="B274" s="18" t="inlineStr">
        <is>
          <t>UI 공통</t>
        </is>
      </c>
      <c r="C274" s="18" t="inlineStr">
        <is>
          <t>캐스트 게이지</t>
        </is>
      </c>
      <c r="D274" s="18" t="inlineStr">
        <is>
          <t>진행 표시</t>
        </is>
      </c>
      <c r="E274" s="18" t="inlineStr">
        <is>
          <t>연출</t>
        </is>
      </c>
      <c r="F274" s="18" t="inlineStr">
        <is>
          <t>Mid</t>
        </is>
      </c>
      <c r="G274" s="19" t="inlineStr">
        <is>
          <t>채널링</t>
        </is>
      </c>
      <c r="H274" s="19" t="inlineStr">
        <is>
          <t>게이지가 진행에 맞게 차는지 확인한다</t>
        </is>
      </c>
      <c r="I274" s="19" t="inlineStr">
        <is>
          <t>1. 귀환석 채널링</t>
        </is>
      </c>
      <c r="J274" s="19" t="inlineStr">
        <is>
          <t>게이지가 시간에 비례해 찬다</t>
        </is>
      </c>
      <c r="K274" s="16" t="inlineStr"/>
      <c r="L274" s="17" t="inlineStr"/>
      <c r="M274" s="19" t="inlineStr"/>
      <c r="N274" s="16" t="inlineStr"/>
    </row>
    <row r="275" ht="18.2" customHeight="1">
      <c r="A275" s="18" t="n">
        <v>271</v>
      </c>
      <c r="B275" s="18" t="inlineStr">
        <is>
          <t>UI 공통</t>
        </is>
      </c>
      <c r="C275" s="18" t="inlineStr">
        <is>
          <t>캐스트 게이지</t>
        </is>
      </c>
      <c r="D275" s="18" t="inlineStr">
        <is>
          <t>취소 처리</t>
        </is>
      </c>
      <c r="E275" s="18" t="inlineStr">
        <is>
          <t>기능</t>
        </is>
      </c>
      <c r="F275" s="18" t="inlineStr">
        <is>
          <t>Mid</t>
        </is>
      </c>
      <c r="G275" s="19" t="inlineStr">
        <is>
          <t>채널링</t>
        </is>
      </c>
      <c r="H275" s="19" t="inlineStr">
        <is>
          <t>취소 시 게이지가 사라지는지 확인한다</t>
        </is>
      </c>
      <c r="I275" s="19" t="inlineStr">
        <is>
          <t>1. 채널링 중 이동</t>
        </is>
      </c>
      <c r="J275" s="19" t="inlineStr">
        <is>
          <t>게이지가 즉시 사라진다</t>
        </is>
      </c>
      <c r="K275" s="16" t="inlineStr"/>
      <c r="L275" s="17" t="inlineStr"/>
      <c r="M275" s="19" t="inlineStr"/>
      <c r="N275" s="16" t="inlineStr"/>
    </row>
    <row r="276" ht="31.4" customHeight="1">
      <c r="A276" s="14" t="n">
        <v>272</v>
      </c>
      <c r="B276" s="14" t="inlineStr">
        <is>
          <t>사운드</t>
        </is>
      </c>
      <c r="C276" s="14" t="inlineStr">
        <is>
          <t>BGM</t>
        </is>
      </c>
      <c r="D276" s="14" t="inlineStr">
        <is>
          <t>지역 전환</t>
        </is>
      </c>
      <c r="E276" s="14" t="inlineStr">
        <is>
          <t>연출</t>
        </is>
      </c>
      <c r="F276" s="14" t="inlineStr">
        <is>
          <t>Mid</t>
        </is>
      </c>
      <c r="G276" s="3" t="inlineStr">
        <is>
          <t>지역 경계</t>
        </is>
      </c>
      <c r="H276" s="3" t="inlineStr">
        <is>
          <t>지역이 바뀌면 BGM 이 교차되는지 확인한다</t>
        </is>
      </c>
      <c r="I276" s="3" t="inlineStr">
        <is>
          <t>1. 지역 이동</t>
        </is>
      </c>
      <c r="J276" s="3" t="inlineStr">
        <is>
          <t>이전 곡이 페이드 아웃되고 새 곡이 들어온다</t>
        </is>
      </c>
      <c r="K276" s="16" t="inlineStr"/>
      <c r="L276" s="17" t="inlineStr"/>
      <c r="M276" s="3" t="inlineStr"/>
      <c r="N276" s="16" t="inlineStr"/>
    </row>
    <row r="277" ht="18.2" customHeight="1">
      <c r="A277" s="14" t="n">
        <v>273</v>
      </c>
      <c r="B277" s="14" t="inlineStr">
        <is>
          <t>사운드</t>
        </is>
      </c>
      <c r="C277" s="14" t="inlineStr">
        <is>
          <t>BGM</t>
        </is>
      </c>
      <c r="D277" s="14" t="inlineStr">
        <is>
          <t>전투 진입</t>
        </is>
      </c>
      <c r="E277" s="14" t="inlineStr">
        <is>
          <t>연출</t>
        </is>
      </c>
      <c r="F277" s="14" t="inlineStr">
        <is>
          <t>Mid</t>
        </is>
      </c>
      <c r="G277" s="3" t="inlineStr">
        <is>
          <t>몬스터 근처</t>
        </is>
      </c>
      <c r="H277" s="3" t="inlineStr">
        <is>
          <t>전투 시작 시 BGM 이 바뀌는지 확인한다</t>
        </is>
      </c>
      <c r="I277" s="3" t="inlineStr">
        <is>
          <t>1. 교전 시작</t>
        </is>
      </c>
      <c r="J277" s="3" t="inlineStr">
        <is>
          <t>전투 BGM 으로 전환된다</t>
        </is>
      </c>
      <c r="K277" s="16" t="inlineStr"/>
      <c r="L277" s="17" t="inlineStr"/>
      <c r="M277" s="3" t="inlineStr"/>
      <c r="N277" s="16" t="inlineStr"/>
    </row>
    <row r="278" ht="31.4" customHeight="1">
      <c r="A278" s="14" t="n">
        <v>274</v>
      </c>
      <c r="B278" s="14" t="inlineStr">
        <is>
          <t>사운드</t>
        </is>
      </c>
      <c r="C278" s="14" t="inlineStr">
        <is>
          <t>BGM</t>
        </is>
      </c>
      <c r="D278" s="14" t="inlineStr">
        <is>
          <t>전투 이탈</t>
        </is>
      </c>
      <c r="E278" s="14" t="inlineStr">
        <is>
          <t>연출</t>
        </is>
      </c>
      <c r="F278" s="14" t="inlineStr">
        <is>
          <t>Mid</t>
        </is>
      </c>
      <c r="G278" s="3" t="inlineStr">
        <is>
          <t>전투 중</t>
        </is>
      </c>
      <c r="H278" s="3" t="inlineStr">
        <is>
          <t>전투가 끝나면 원래 BGM 으로 돌아오는지 확인한다</t>
        </is>
      </c>
      <c r="I278" s="3" t="inlineStr">
        <is>
          <t>1. 적 처치 또는 이탈</t>
        </is>
      </c>
      <c r="J278" s="3" t="inlineStr">
        <is>
          <t>지역 BGM 으로 돌아온다</t>
        </is>
      </c>
      <c r="K278" s="16" t="inlineStr"/>
      <c r="L278" s="17" t="inlineStr"/>
      <c r="M278" s="3" t="inlineStr"/>
      <c r="N278" s="16" t="inlineStr"/>
    </row>
    <row r="279" ht="18.2" customHeight="1">
      <c r="A279" s="14" t="n">
        <v>275</v>
      </c>
      <c r="B279" s="14" t="inlineStr">
        <is>
          <t>사운드</t>
        </is>
      </c>
      <c r="C279" s="14" t="inlineStr">
        <is>
          <t>BGM</t>
        </is>
      </c>
      <c r="D279" s="14" t="inlineStr">
        <is>
          <t>뮤트</t>
        </is>
      </c>
      <c r="E279" s="14" t="inlineStr">
        <is>
          <t>기능</t>
        </is>
      </c>
      <c r="F279" s="14" t="inlineStr">
        <is>
          <t>Mid</t>
        </is>
      </c>
      <c r="G279" s="3" t="inlineStr">
        <is>
          <t>설정</t>
        </is>
      </c>
      <c r="H279" s="3" t="inlineStr">
        <is>
          <t>BGM 뮤트가 동작하는지 확인한다</t>
        </is>
      </c>
      <c r="I279" s="3" t="inlineStr">
        <is>
          <t>1. 뮤트 체크</t>
        </is>
      </c>
      <c r="J279" s="3" t="inlineStr">
        <is>
          <t>BGM 만 꺼지고 효과음은 난다</t>
        </is>
      </c>
      <c r="K279" s="16" t="inlineStr"/>
      <c r="L279" s="17" t="inlineStr"/>
      <c r="M279" s="3" t="inlineStr"/>
      <c r="N279" s="16" t="inlineStr"/>
    </row>
    <row r="280" ht="31.4" customHeight="1">
      <c r="A280" s="14" t="n">
        <v>276</v>
      </c>
      <c r="B280" s="14" t="inlineStr">
        <is>
          <t>사운드</t>
        </is>
      </c>
      <c r="C280" s="14" t="inlineStr">
        <is>
          <t>BGM</t>
        </is>
      </c>
      <c r="D280" s="14" t="inlineStr">
        <is>
          <t>메뉴↔인게임</t>
        </is>
      </c>
      <c r="E280" s="14" t="inlineStr">
        <is>
          <t>연출</t>
        </is>
      </c>
      <c r="F280" s="14" t="inlineStr">
        <is>
          <t>Mid</t>
        </is>
      </c>
      <c r="G280" s="3" t="inlineStr">
        <is>
          <t>타이틀</t>
        </is>
      </c>
      <c r="H280" s="3" t="inlineStr">
        <is>
          <t>메뉴와 인게임 BGM 이 각각 맞게 나오는지 확인한다</t>
        </is>
      </c>
      <c r="I280" s="3" t="inlineStr">
        <is>
          <t>1. 타이틀 → 월드 → 타이틀</t>
        </is>
      </c>
      <c r="J280" s="3" t="inlineStr">
        <is>
          <t>각 화면에 맞는 곡이 나온다</t>
        </is>
      </c>
      <c r="K280" s="16" t="inlineStr"/>
      <c r="L280" s="17" t="inlineStr"/>
      <c r="M280" s="3" t="inlineStr"/>
      <c r="N280" s="16" t="inlineStr"/>
    </row>
    <row r="281" ht="31.4" customHeight="1">
      <c r="A281" s="14" t="n">
        <v>277</v>
      </c>
      <c r="B281" s="14" t="inlineStr">
        <is>
          <t>사운드</t>
        </is>
      </c>
      <c r="C281" s="14" t="inlineStr">
        <is>
          <t>SFX</t>
        </is>
      </c>
      <c r="D281" s="14" t="inlineStr">
        <is>
          <t>전역 효과음</t>
        </is>
      </c>
      <c r="E281" s="14" t="inlineStr">
        <is>
          <t>연출</t>
        </is>
      </c>
      <c r="F281" s="14" t="inlineStr">
        <is>
          <t>Mid</t>
        </is>
      </c>
      <c r="G281" s="3" t="inlineStr">
        <is>
          <t>인게임</t>
        </is>
      </c>
      <c r="H281" s="3" t="inlineStr">
        <is>
          <t>GameSfxConfig 의 효과음이 상황마다 나오는지 확인한다</t>
        </is>
      </c>
      <c r="I281" s="3" t="inlineStr">
        <is>
          <t>1. 공격·피격·점프·대시·아이템 획득 각각</t>
        </is>
      </c>
      <c r="J281" s="3" t="inlineStr">
        <is>
          <t>각 상황에 지정된 소리가 난다</t>
        </is>
      </c>
      <c r="K281" s="16" t="inlineStr"/>
      <c r="L281" s="17" t="inlineStr"/>
      <c r="M281" s="3" t="inlineStr"/>
      <c r="N281" s="16" t="inlineStr"/>
    </row>
    <row r="282" ht="31.4" customHeight="1">
      <c r="A282" s="14" t="n">
        <v>278</v>
      </c>
      <c r="B282" s="14" t="inlineStr">
        <is>
          <t>사운드</t>
        </is>
      </c>
      <c r="C282" s="14" t="inlineStr">
        <is>
          <t>SFX</t>
        </is>
      </c>
      <c r="D282" s="14" t="inlineStr">
        <is>
          <t>발소리</t>
        </is>
      </c>
      <c r="E282" s="14" t="inlineStr">
        <is>
          <t>연출</t>
        </is>
      </c>
      <c r="F282" s="14" t="inlineStr">
        <is>
          <t>Mid</t>
        </is>
      </c>
      <c r="G282" s="3" t="inlineStr">
        <is>
          <t>이동</t>
        </is>
      </c>
      <c r="H282" s="3" t="inlineStr">
        <is>
          <t>걷기·달리기 발소리가 나는지 확인한다</t>
        </is>
      </c>
      <c r="I282" s="3" t="inlineStr">
        <is>
          <t>1. 걷기
2. 달리기</t>
        </is>
      </c>
      <c r="J282" s="3" t="inlineStr">
        <is>
          <t>속도에 맞는 간격으로 발소리가 난다</t>
        </is>
      </c>
      <c r="K282" s="16" t="inlineStr"/>
      <c r="L282" s="17" t="inlineStr"/>
      <c r="M282" s="3" t="inlineStr"/>
      <c r="N282" s="16" t="inlineStr"/>
    </row>
    <row r="283" ht="31.4" customHeight="1">
      <c r="A283" s="14" t="n">
        <v>279</v>
      </c>
      <c r="B283" s="14" t="inlineStr">
        <is>
          <t>사운드</t>
        </is>
      </c>
      <c r="C283" s="14" t="inlineStr">
        <is>
          <t>SFX</t>
        </is>
      </c>
      <c r="D283" s="14" t="inlineStr">
        <is>
          <t>설비 루프음</t>
        </is>
      </c>
      <c r="E283" s="14" t="inlineStr">
        <is>
          <t>연출</t>
        </is>
      </c>
      <c r="F283" s="14" t="inlineStr">
        <is>
          <t>Mid</t>
        </is>
      </c>
      <c r="G283" s="3" t="inlineStr">
        <is>
          <t>설비 가동</t>
        </is>
      </c>
      <c r="H283" s="3" t="inlineStr">
        <is>
          <t>가동 중 루프음이 나고 멈추면 꺼지는지 확인한다</t>
        </is>
      </c>
      <c r="I283" s="3" t="inlineStr">
        <is>
          <t>1. 가동
2. 연료 소진</t>
        </is>
      </c>
      <c r="J283" s="3" t="inlineStr">
        <is>
          <t>가동 중 루프음, 멈추면 꺼진다</t>
        </is>
      </c>
      <c r="K283" s="16" t="inlineStr"/>
      <c r="L283" s="17" t="inlineStr"/>
      <c r="M283" s="3" t="inlineStr"/>
      <c r="N283" s="16" t="inlineStr"/>
    </row>
    <row r="284" ht="31.4" customHeight="1">
      <c r="A284" s="14" t="n">
        <v>280</v>
      </c>
      <c r="B284" s="14" t="inlineStr">
        <is>
          <t>사운드</t>
        </is>
      </c>
      <c r="C284" s="14" t="inlineStr">
        <is>
          <t>SFX</t>
        </is>
      </c>
      <c r="D284" s="14" t="inlineStr">
        <is>
          <t>거리 감쇠</t>
        </is>
      </c>
      <c r="E284" s="14" t="inlineStr">
        <is>
          <t>데이터</t>
        </is>
      </c>
      <c r="F284" s="14" t="inlineStr">
        <is>
          <t>Mid</t>
        </is>
      </c>
      <c r="G284" s="3" t="inlineStr">
        <is>
          <t>설비 가동</t>
        </is>
      </c>
      <c r="H284" s="3" t="inlineStr">
        <is>
          <t>멀어지면 소리가 줄어드는지 확인한다</t>
        </is>
      </c>
      <c r="I284" s="3" t="inlineStr">
        <is>
          <t>1. 설비에서 멀어진다</t>
        </is>
      </c>
      <c r="J284" s="3" t="inlineStr">
        <is>
          <t>거리에 따라 작아지고 일정 거리 밖에선 안 들린다</t>
        </is>
      </c>
      <c r="K284" s="16" t="inlineStr"/>
      <c r="L284" s="17" t="inlineStr"/>
      <c r="M284" s="3" t="inlineStr"/>
      <c r="N284" s="16" t="inlineStr"/>
    </row>
    <row r="285" ht="31.4" customHeight="1">
      <c r="A285" s="14" t="n">
        <v>281</v>
      </c>
      <c r="B285" s="14" t="inlineStr">
        <is>
          <t>사운드</t>
        </is>
      </c>
      <c r="C285" s="14" t="inlineStr">
        <is>
          <t>SFX</t>
        </is>
      </c>
      <c r="D285" s="14" t="inlineStr">
        <is>
          <t>UI 사운드</t>
        </is>
      </c>
      <c r="E285" s="14" t="inlineStr">
        <is>
          <t>연출</t>
        </is>
      </c>
      <c r="F285" s="14" t="inlineStr">
        <is>
          <t>Low</t>
        </is>
      </c>
      <c r="G285" s="3" t="inlineStr">
        <is>
          <t>UI 조작</t>
        </is>
      </c>
      <c r="H285" s="3" t="inlineStr">
        <is>
          <t>UI 클릭음이 나는지 확인한다</t>
        </is>
      </c>
      <c r="I285" s="3" t="inlineStr">
        <is>
          <t>1. 버튼 클릭
2. 창 열기</t>
        </is>
      </c>
      <c r="J285" s="3" t="inlineStr">
        <is>
          <t>각각 소리가 난다</t>
        </is>
      </c>
      <c r="K285" s="16" t="inlineStr"/>
      <c r="L285" s="17" t="inlineStr"/>
      <c r="M285" s="3" t="inlineStr"/>
      <c r="N285" s="16" t="inlineStr"/>
    </row>
    <row r="286" ht="31.4" customHeight="1">
      <c r="A286" s="14" t="n">
        <v>282</v>
      </c>
      <c r="B286" s="14" t="inlineStr">
        <is>
          <t>사운드</t>
        </is>
      </c>
      <c r="C286" s="14" t="inlineStr">
        <is>
          <t>볼륨</t>
        </is>
      </c>
      <c r="D286" s="14" t="inlineStr">
        <is>
          <t>씬 간 유지</t>
        </is>
      </c>
      <c r="E286" s="14" t="inlineStr">
        <is>
          <t>상태</t>
        </is>
      </c>
      <c r="F286" s="14" t="inlineStr">
        <is>
          <t>Mid</t>
        </is>
      </c>
      <c r="G286" s="3" t="inlineStr">
        <is>
          <t>볼륨 조절</t>
        </is>
      </c>
      <c r="H286" s="3" t="inlineStr">
        <is>
          <t>씬을 넘어도 볼륨이 유지되는지 확인한다</t>
        </is>
      </c>
      <c r="I286" s="3" t="inlineStr">
        <is>
          <t>1. 볼륨 30%
2. 메인메뉴 ↔ 월드</t>
        </is>
      </c>
      <c r="J286" s="3" t="inlineStr">
        <is>
          <t>30% 가 유지된다</t>
        </is>
      </c>
      <c r="K286" s="16" t="inlineStr"/>
      <c r="L286" s="17" t="inlineStr"/>
      <c r="M286" s="3" t="inlineStr"/>
      <c r="N286" s="16" t="inlineStr"/>
    </row>
    <row r="287" ht="31.4" customHeight="1">
      <c r="A287" s="14" t="n">
        <v>283</v>
      </c>
      <c r="B287" s="14" t="inlineStr">
        <is>
          <t>사운드</t>
        </is>
      </c>
      <c r="C287" s="14" t="inlineStr">
        <is>
          <t>SFX</t>
        </is>
      </c>
      <c r="D287" s="14" t="inlineStr">
        <is>
          <t>플레이어 전투음</t>
        </is>
      </c>
      <c r="E287" s="14" t="inlineStr">
        <is>
          <t>연출</t>
        </is>
      </c>
      <c r="F287" s="14" t="inlineStr">
        <is>
          <t>Mid</t>
        </is>
      </c>
      <c r="G287" s="3" t="inlineStr">
        <is>
          <t>적 앞</t>
        </is>
      </c>
      <c r="H287" s="3" t="inlineStr">
        <is>
          <t>공격 1/2/3단·적중·스킬 Q/E/R 소리가 각각 나는지 확인한다</t>
        </is>
      </c>
      <c r="I287" s="3" t="inlineStr">
        <is>
          <t>1. 3연속 공격
2. 스킬 3종 사용</t>
        </is>
      </c>
      <c r="J287" s="3" t="inlineStr">
        <is>
          <t>단계·스킬마다 다른 소리가 난다</t>
        </is>
      </c>
      <c r="K287" s="16" t="inlineStr"/>
      <c r="L287" s="17" t="inlineStr"/>
      <c r="M287" s="3" t="inlineStr"/>
      <c r="N287" s="16" t="inlineStr"/>
    </row>
    <row r="288" ht="31.4" customHeight="1">
      <c r="A288" s="14" t="n">
        <v>284</v>
      </c>
      <c r="B288" s="14" t="inlineStr">
        <is>
          <t>사운드</t>
        </is>
      </c>
      <c r="C288" s="14" t="inlineStr">
        <is>
          <t>SFX</t>
        </is>
      </c>
      <c r="D288" s="14" t="inlineStr">
        <is>
          <t>플레이어 상태음</t>
        </is>
      </c>
      <c r="E288" s="14" t="inlineStr">
        <is>
          <t>연출</t>
        </is>
      </c>
      <c r="F288" s="14" t="inlineStr">
        <is>
          <t>Mid</t>
        </is>
      </c>
      <c r="G288" s="3" t="inlineStr">
        <is>
          <t>인게임</t>
        </is>
      </c>
      <c r="H288" s="3" t="inlineStr">
        <is>
          <t>피격·사망·점프·대시·탈진 소리가 나는지 확인한다</t>
        </is>
      </c>
      <c r="I288" s="3" t="inlineStr">
        <is>
          <t>1. 각 상황 유발</t>
        </is>
      </c>
      <c r="J288" s="3" t="inlineStr">
        <is>
          <t>상황마다 지정된 소리가 난다</t>
        </is>
      </c>
      <c r="K288" s="16" t="inlineStr"/>
      <c r="L288" s="17" t="inlineStr"/>
      <c r="M288" s="3" t="inlineStr"/>
      <c r="N288" s="16" t="inlineStr"/>
    </row>
    <row r="289" ht="31.4" customHeight="1">
      <c r="A289" s="14" t="n">
        <v>285</v>
      </c>
      <c r="B289" s="14" t="inlineStr">
        <is>
          <t>사운드</t>
        </is>
      </c>
      <c r="C289" s="14" t="inlineStr">
        <is>
          <t>SFX</t>
        </is>
      </c>
      <c r="D289" s="14" t="inlineStr">
        <is>
          <t>코어 강화음</t>
        </is>
      </c>
      <c r="E289" s="14" t="inlineStr">
        <is>
          <t>연출</t>
        </is>
      </c>
      <c r="F289" s="14" t="inlineStr">
        <is>
          <t>Mid</t>
        </is>
      </c>
      <c r="G289" s="3" t="inlineStr">
        <is>
          <t>코어 UI</t>
        </is>
      </c>
      <c r="H289" s="3" t="inlineStr">
        <is>
          <t>강화 성공·실패 소리가 구분되는지 확인한다</t>
        </is>
      </c>
      <c r="I289" s="3" t="inlineStr">
        <is>
          <t>1. 성공
2. 실패</t>
        </is>
      </c>
      <c r="J289" s="3" t="inlineStr">
        <is>
          <t>성공과 실패 소리가 다르다</t>
        </is>
      </c>
      <c r="K289" s="16" t="inlineStr"/>
      <c r="L289" s="17" t="inlineStr"/>
      <c r="M289" s="3" t="inlineStr"/>
      <c r="N289" s="16" t="inlineStr"/>
    </row>
    <row r="290" ht="31.4" customHeight="1">
      <c r="A290" s="14" t="n">
        <v>286</v>
      </c>
      <c r="B290" s="14" t="inlineStr">
        <is>
          <t>사운드</t>
        </is>
      </c>
      <c r="C290" s="14" t="inlineStr">
        <is>
          <t>SFX</t>
        </is>
      </c>
      <c r="D290" s="14" t="inlineStr">
        <is>
          <t>설비 조작음</t>
        </is>
      </c>
      <c r="E290" s="14" t="inlineStr">
        <is>
          <t>연출</t>
        </is>
      </c>
      <c r="F290" s="14" t="inlineStr">
        <is>
          <t>Mid</t>
        </is>
      </c>
      <c r="G290" s="3" t="inlineStr">
        <is>
          <t>설비 UI</t>
        </is>
      </c>
      <c r="H290" s="3" t="inlineStr">
        <is>
          <t>연료 투입·재료 투입·완성 소리가 나는지 확인한다</t>
        </is>
      </c>
      <c r="I290" s="3" t="inlineStr">
        <is>
          <t>1. 각 조작</t>
        </is>
      </c>
      <c r="J290" s="3" t="inlineStr">
        <is>
          <t>조작마다 소리가 난다</t>
        </is>
      </c>
      <c r="K290" s="16" t="inlineStr"/>
      <c r="L290" s="17" t="inlineStr"/>
      <c r="M290" s="3" t="inlineStr"/>
      <c r="N290" s="16" t="inlineStr"/>
    </row>
    <row r="291" ht="31.4" customHeight="1">
      <c r="A291" s="14" t="n">
        <v>287</v>
      </c>
      <c r="B291" s="14" t="inlineStr">
        <is>
          <t>사운드</t>
        </is>
      </c>
      <c r="C291" s="14" t="inlineStr">
        <is>
          <t>SFX</t>
        </is>
      </c>
      <c r="D291" s="14" t="inlineStr">
        <is>
          <t>상자·기믹음</t>
        </is>
      </c>
      <c r="E291" s="14" t="inlineStr">
        <is>
          <t>연출</t>
        </is>
      </c>
      <c r="F291" s="14" t="inlineStr">
        <is>
          <t>Mid</t>
        </is>
      </c>
      <c r="G291" s="3" t="inlineStr">
        <is>
          <t>기믹 지역</t>
        </is>
      </c>
      <c r="H291" s="3" t="inlineStr">
        <is>
          <t>상자 개봉·스위치·문 소리가 나는지 확인한다</t>
        </is>
      </c>
      <c r="I291" s="3" t="inlineStr">
        <is>
          <t>1. 각 상호작용</t>
        </is>
      </c>
      <c r="J291" s="3" t="inlineStr">
        <is>
          <t>각각 소리가 난다</t>
        </is>
      </c>
      <c r="K291" s="16" t="inlineStr"/>
      <c r="L291" s="17" t="inlineStr"/>
      <c r="M291" s="3" t="inlineStr"/>
      <c r="N291" s="16" t="inlineStr"/>
    </row>
    <row r="292" ht="44.59999999999999" customHeight="1">
      <c r="A292" s="14" t="n">
        <v>288</v>
      </c>
      <c r="B292" s="14" t="inlineStr">
        <is>
          <t>사운드</t>
        </is>
      </c>
      <c r="C292" s="14" t="inlineStr">
        <is>
          <t>SFX</t>
        </is>
      </c>
      <c r="D292" s="14" t="inlineStr">
        <is>
          <t>워프·귀환음</t>
        </is>
      </c>
      <c r="E292" s="14" t="inlineStr">
        <is>
          <t>연출</t>
        </is>
      </c>
      <c r="F292" s="14" t="inlineStr">
        <is>
          <t>Mid</t>
        </is>
      </c>
      <c r="G292" s="3" t="inlineStr">
        <is>
          <t>워프·귀환석</t>
        </is>
      </c>
      <c r="H292" s="3" t="inlineStr">
        <is>
          <t>워프 활성·이동, 귀환 채널링 소리가 나는지 확인한다</t>
        </is>
      </c>
      <c r="I292" s="3" t="inlineStr">
        <is>
          <t>1. 워프 활성
2. 워프 이동
3. 귀환 채널링</t>
        </is>
      </c>
      <c r="J292" s="3" t="inlineStr">
        <is>
          <t>각 단계에 소리가 난다</t>
        </is>
      </c>
      <c r="K292" s="16" t="inlineStr"/>
      <c r="L292" s="17" t="inlineStr"/>
      <c r="M292" s="3" t="inlineStr"/>
      <c r="N292" s="16" t="inlineStr"/>
    </row>
    <row r="293" ht="44.59999999999999" customHeight="1">
      <c r="A293" s="14" t="n">
        <v>289</v>
      </c>
      <c r="B293" s="14" t="inlineStr">
        <is>
          <t>사운드</t>
        </is>
      </c>
      <c r="C293" s="14" t="inlineStr">
        <is>
          <t>SFX</t>
        </is>
      </c>
      <c r="D293" s="14" t="inlineStr">
        <is>
          <t>퀘스트·알림음</t>
        </is>
      </c>
      <c r="E293" s="14" t="inlineStr">
        <is>
          <t>연출</t>
        </is>
      </c>
      <c r="F293" s="14" t="inlineStr">
        <is>
          <t>Mid</t>
        </is>
      </c>
      <c r="G293" s="3" t="inlineStr">
        <is>
          <t>퀘스트 진행</t>
        </is>
      </c>
      <c r="H293" s="3" t="inlineStr">
        <is>
          <t>수락·완료·발견 알림 소리가 나는지 확인한다</t>
        </is>
      </c>
      <c r="I293" s="3" t="inlineStr">
        <is>
          <t>1. 수락
2. 완료
3. 신규 발견</t>
        </is>
      </c>
      <c r="J293" s="3" t="inlineStr">
        <is>
          <t>각각 소리가 난다</t>
        </is>
      </c>
      <c r="K293" s="16" t="inlineStr"/>
      <c r="L293" s="17" t="inlineStr"/>
      <c r="M293" s="3" t="inlineStr"/>
      <c r="N293" s="16" t="inlineStr"/>
    </row>
    <row r="294" ht="31.4" customHeight="1">
      <c r="A294" s="14" t="n">
        <v>290</v>
      </c>
      <c r="B294" s="14" t="inlineStr">
        <is>
          <t>사운드</t>
        </is>
      </c>
      <c r="C294" s="14" t="inlineStr">
        <is>
          <t>SFX</t>
        </is>
      </c>
      <c r="D294" s="14" t="inlineStr">
        <is>
          <t>보스 전조음</t>
        </is>
      </c>
      <c r="E294" s="14" t="inlineStr">
        <is>
          <t>연출</t>
        </is>
      </c>
      <c r="F294" s="14" t="inlineStr">
        <is>
          <t>Mid</t>
        </is>
      </c>
      <c r="G294" s="3" t="inlineStr">
        <is>
          <t>보스 교전</t>
        </is>
      </c>
      <c r="H294" s="3" t="inlineStr">
        <is>
          <t>전조·포효 소리가 패턴에 맞춰 나는지 확인한다</t>
        </is>
      </c>
      <c r="I294" s="3" t="inlineStr">
        <is>
          <t>1. 각 패턴 관찰</t>
        </is>
      </c>
      <c r="J294" s="3" t="inlineStr">
        <is>
          <t>전조 이펙트와 소리가 동시에 난다</t>
        </is>
      </c>
      <c r="K294" s="16" t="inlineStr"/>
      <c r="L294" s="17" t="inlineStr"/>
      <c r="M294" s="3" t="inlineStr"/>
      <c r="N294" s="16" t="inlineStr"/>
    </row>
    <row r="295" ht="18.2" customHeight="1">
      <c r="A295" s="14" t="n">
        <v>291</v>
      </c>
      <c r="B295" s="14" t="inlineStr">
        <is>
          <t>사운드</t>
        </is>
      </c>
      <c r="C295" s="14" t="inlineStr">
        <is>
          <t>SFX</t>
        </is>
      </c>
      <c r="D295" s="14" t="inlineStr">
        <is>
          <t>환경음</t>
        </is>
      </c>
      <c r="E295" s="14" t="inlineStr">
        <is>
          <t>연출</t>
        </is>
      </c>
      <c r="F295" s="14" t="inlineStr">
        <is>
          <t>Low</t>
        </is>
      </c>
      <c r="G295" s="3" t="inlineStr">
        <is>
          <t>각 지역</t>
        </is>
      </c>
      <c r="H295" s="3" t="inlineStr">
        <is>
          <t>지역별 환경음이 나는지 확인한다</t>
        </is>
      </c>
      <c r="I295" s="3" t="inlineStr">
        <is>
          <t>1. 4지역 순회</t>
        </is>
      </c>
      <c r="J295" s="3" t="inlineStr">
        <is>
          <t>지역마다 다른 환경음이 깔린다</t>
        </is>
      </c>
      <c r="K295" s="16" t="inlineStr"/>
      <c r="L295" s="17" t="inlineStr"/>
      <c r="M295" s="3" t="inlineStr"/>
      <c r="N295" s="16" t="inlineStr"/>
    </row>
    <row r="296" ht="31.4" customHeight="1">
      <c r="A296" s="14" t="n">
        <v>292</v>
      </c>
      <c r="B296" s="14" t="inlineStr">
        <is>
          <t>사운드</t>
        </is>
      </c>
      <c r="C296" s="14" t="inlineStr">
        <is>
          <t>SFX</t>
        </is>
      </c>
      <c r="D296" s="14" t="inlineStr">
        <is>
          <t>메뉴 조작음</t>
        </is>
      </c>
      <c r="E296" s="14" t="inlineStr">
        <is>
          <t>연출</t>
        </is>
      </c>
      <c r="F296" s="14" t="inlineStr">
        <is>
          <t>Low</t>
        </is>
      </c>
      <c r="G296" s="3" t="inlineStr">
        <is>
          <t>메인메뉴</t>
        </is>
      </c>
      <c r="H296" s="3" t="inlineStr">
        <is>
          <t>메뉴 이동·확인·취소 소리가 나는지 확인한다</t>
        </is>
      </c>
      <c r="I296" s="3" t="inlineStr">
        <is>
          <t>1. 각 조작</t>
        </is>
      </c>
      <c r="J296" s="3" t="inlineStr">
        <is>
          <t>각각 소리가 난다</t>
        </is>
      </c>
      <c r="K296" s="16" t="inlineStr"/>
      <c r="L296" s="17" t="inlineStr"/>
      <c r="M296" s="3" t="inlineStr"/>
      <c r="N296" s="16" t="inlineStr"/>
    </row>
    <row r="297" ht="31.4" customHeight="1">
      <c r="A297" s="14" t="n">
        <v>293</v>
      </c>
      <c r="B297" s="14" t="inlineStr">
        <is>
          <t>사운드</t>
        </is>
      </c>
      <c r="C297" s="14" t="inlineStr">
        <is>
          <t>SFX</t>
        </is>
      </c>
      <c r="D297" s="14" t="inlineStr">
        <is>
          <t>볼륨 반영</t>
        </is>
      </c>
      <c r="E297" s="14" t="inlineStr">
        <is>
          <t>데이터</t>
        </is>
      </c>
      <c r="F297" s="14" t="inlineStr">
        <is>
          <t>Mid</t>
        </is>
      </c>
      <c r="G297" s="3" t="inlineStr">
        <is>
          <t>SFX 슬라이더 조절</t>
        </is>
      </c>
      <c r="H297" s="3" t="inlineStr">
        <is>
          <t>슬라이더가 모든 효과음 계열에 반영되는지 확인한다</t>
        </is>
      </c>
      <c r="I297" s="3" t="inlineStr">
        <is>
          <t>1. SFX 50%
2. 플레이어·설비·UI·적 소리 각각 확인</t>
        </is>
      </c>
      <c r="J297" s="3" t="inlineStr">
        <is>
          <t>모든 계열이 같은 비율로 줄어든다</t>
        </is>
      </c>
      <c r="K297" s="16" t="inlineStr"/>
      <c r="L297" s="17" t="inlineStr"/>
      <c r="M297" s="3" t="inlineStr"/>
      <c r="N297" s="16" t="inlineStr"/>
    </row>
    <row r="298" ht="31.4" customHeight="1">
      <c r="A298" s="14" t="n">
        <v>294</v>
      </c>
      <c r="B298" s="14" t="inlineStr">
        <is>
          <t>사운드</t>
        </is>
      </c>
      <c r="C298" s="14" t="inlineStr">
        <is>
          <t>SFX</t>
        </is>
      </c>
      <c r="D298" s="14" t="inlineStr">
        <is>
          <t>피치 다양성</t>
        </is>
      </c>
      <c r="E298" s="14" t="inlineStr">
        <is>
          <t>연출</t>
        </is>
      </c>
      <c r="F298" s="14" t="inlineStr">
        <is>
          <t>Low</t>
        </is>
      </c>
      <c r="G298" s="3" t="inlineStr">
        <is>
          <t>반복 동작</t>
        </is>
      </c>
      <c r="H298" s="3" t="inlineStr">
        <is>
          <t>같은 동작을 반복할 때 소리가 매번 같지 않은지 확인한다</t>
        </is>
      </c>
      <c r="I298" s="3" t="inlineStr">
        <is>
          <t>1. 발소리·공격음 10회 반복</t>
        </is>
      </c>
      <c r="J298" s="3" t="inlineStr">
        <is>
          <t>피치나 클립이 조금씩 달라 기계적으로 들리지 않는다</t>
        </is>
      </c>
      <c r="K298" s="16" t="inlineStr"/>
      <c r="L298" s="17" t="inlineStr"/>
      <c r="M298" s="3" t="inlineStr">
        <is>
          <t>현재 미구현 - 개선 후보</t>
        </is>
      </c>
      <c r="N298" s="16" t="inlineStr"/>
    </row>
    <row r="299" ht="31.4" customHeight="1">
      <c r="A299" s="14" t="n">
        <v>295</v>
      </c>
      <c r="B299" s="14" t="inlineStr">
        <is>
          <t>사운드</t>
        </is>
      </c>
      <c r="C299" s="14" t="inlineStr">
        <is>
          <t>SFX</t>
        </is>
      </c>
      <c r="D299" s="14" t="inlineStr">
        <is>
          <t>적 효과음</t>
        </is>
      </c>
      <c r="E299" s="14" t="inlineStr">
        <is>
          <t>연출</t>
        </is>
      </c>
      <c r="F299" s="14" t="inlineStr">
        <is>
          <t>Mid</t>
        </is>
      </c>
      <c r="G299" s="3" t="inlineStr">
        <is>
          <t>몬스터 교전</t>
        </is>
      </c>
      <c r="H299" s="3" t="inlineStr">
        <is>
          <t>적 감지·공격·피격·사망 소리가 나는지 확인한다</t>
        </is>
      </c>
      <c r="I299" s="3" t="inlineStr">
        <is>
          <t>1. 각 상황 유발</t>
        </is>
      </c>
      <c r="J299" s="3" t="inlineStr">
        <is>
          <t>상황마다 소리가 난다</t>
        </is>
      </c>
      <c r="K299" s="16" t="inlineStr"/>
      <c r="L299" s="17" t="inlineStr"/>
      <c r="M299" s="3" t="inlineStr"/>
      <c r="N299" s="16" t="inlineStr"/>
    </row>
    <row r="300" ht="31.4" customHeight="1">
      <c r="A300" s="14" t="n">
        <v>296</v>
      </c>
      <c r="B300" s="14" t="inlineStr">
        <is>
          <t>사운드</t>
        </is>
      </c>
      <c r="C300" s="14" t="inlineStr">
        <is>
          <t>SFX</t>
        </is>
      </c>
      <c r="D300" s="14" t="inlineStr">
        <is>
          <t>동시 재생 부하</t>
        </is>
      </c>
      <c r="E300" s="14" t="inlineStr">
        <is>
          <t>성능</t>
        </is>
      </c>
      <c r="F300" s="14" t="inlineStr">
        <is>
          <t>Mid</t>
        </is>
      </c>
      <c r="G300" s="3" t="inlineStr">
        <is>
          <t>설비 다수 가동</t>
        </is>
      </c>
      <c r="H300" s="3" t="inlineStr">
        <is>
          <t>루프음이 많이 겹쳐도 끊기지 않는지 확인한다</t>
        </is>
      </c>
      <c r="I300" s="3" t="inlineStr">
        <is>
          <t>1. 설비 10대 이상 동시 가동
2. 근처 이동</t>
        </is>
      </c>
      <c r="J300" s="3" t="inlineStr">
        <is>
          <t>소리가 끊기거나 튀지 않는다</t>
        </is>
      </c>
      <c r="K300" s="16" t="inlineStr"/>
      <c r="L300" s="17" t="inlineStr"/>
      <c r="M300" s="3" t="inlineStr"/>
      <c r="N300" s="16" t="inlineStr"/>
    </row>
  </sheetData>
  <autoFilter ref="A4:N300"/>
  <dataValidations count="3">
    <dataValidation sqref="K5:K300" showDropDown="0" showInputMessage="0" showErrorMessage="0" allowBlank="1" type="list">
      <formula1>"Pass,Fail,Block,N/A,N/T"</formula1>
    </dataValidation>
    <dataValidation sqref="F5:F300" showDropDown="0" showInputMessage="0" showErrorMessage="0" allowBlank="1" type="list">
      <formula1>"High,Mid,Low"</formula1>
    </dataValidation>
    <dataValidation sqref="E5:E300" showDropDown="0" showInputMessage="0" showErrorMessage="0" allowBlank="1" type="list">
      <formula1>"기능,경계,상태,데이터,연출,성능"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40" customWidth="1" min="4" max="4"/>
    <col width="40" customWidth="1" min="5" max="5"/>
    <col width="8" customWidth="1" min="6" max="6"/>
    <col width="24" customWidth="1" min="7" max="7"/>
  </cols>
  <sheetData>
    <row r="1" ht="22" customHeight="1">
      <c r="A1" s="6" t="inlineStr">
        <is>
          <t>플레이 검증</t>
        </is>
      </c>
    </row>
    <row r="2" ht="16" customHeight="1">
      <c r="A2" s="7" t="inlineStr">
        <is>
          <t>Pass/Fail 로 못 가르는 것. 실제로 플레이하며 본다. 결과는 좋음 / 보통 / 문제.</t>
        </is>
      </c>
    </row>
    <row r="4" ht="26" customHeight="1">
      <c r="A4" s="8" t="inlineStr">
        <is>
          <t>No</t>
        </is>
      </c>
      <c r="B4" s="8" t="inlineStr">
        <is>
          <t>구분</t>
        </is>
      </c>
      <c r="C4" s="8" t="inlineStr">
        <is>
          <t>항목</t>
        </is>
      </c>
      <c r="D4" s="8" t="inlineStr">
        <is>
          <t>어떻게 본다</t>
        </is>
      </c>
      <c r="E4" s="8" t="inlineStr">
        <is>
          <t>기준</t>
        </is>
      </c>
      <c r="F4" s="8" t="inlineStr">
        <is>
          <t>결과</t>
        </is>
      </c>
      <c r="G4" s="8" t="inlineStr">
        <is>
          <t>메모</t>
        </is>
      </c>
    </row>
    <row r="5" ht="31.4" customHeight="1">
      <c r="A5" s="14" t="n">
        <v>1</v>
      </c>
      <c r="B5" s="14" t="inlineStr">
        <is>
          <t>진행/완주</t>
        </is>
      </c>
      <c r="C5" s="20" t="inlineStr">
        <is>
          <t>프롤로그 → 첫 기지</t>
        </is>
      </c>
      <c r="D5" s="3" t="inlineStr">
        <is>
          <t>새 세이브로 시작해 첫 기지(결계) 도착까지 진행</t>
        </is>
      </c>
      <c r="E5" s="3" t="inlineStr">
        <is>
          <t>안내 없이 길을 잃는 구간이 없다. 10분 안에 도착</t>
        </is>
      </c>
      <c r="F5" s="16" t="inlineStr"/>
      <c r="G5" s="17" t="inlineStr"/>
    </row>
    <row r="6" ht="18.2" customHeight="1">
      <c r="A6" s="14" t="n">
        <v>2</v>
      </c>
      <c r="B6" s="14" t="inlineStr">
        <is>
          <t>진행/완주</t>
        </is>
      </c>
      <c r="C6" s="20" t="inlineStr">
        <is>
          <t>튜토리얼 퀘스트 완주</t>
        </is>
      </c>
      <c r="D6" s="3" t="inlineStr">
        <is>
          <t>튜토리얼 퀘스트를 순서대로 끝까지 진행</t>
        </is>
      </c>
      <c r="E6" s="3" t="inlineStr">
        <is>
          <t>다음 목표가 무엇인지 모르는 순간이 없다</t>
        </is>
      </c>
      <c r="F6" s="16" t="inlineStr"/>
      <c r="G6" s="17" t="inlineStr"/>
    </row>
    <row r="7" ht="31.4" customHeight="1">
      <c r="A7" s="14" t="n">
        <v>3</v>
      </c>
      <c r="B7" s="14" t="inlineStr">
        <is>
          <t>진행/완주</t>
        </is>
      </c>
      <c r="C7" s="20" t="inlineStr">
        <is>
          <t>첫 설비 가동</t>
        </is>
      </c>
      <c r="D7" s="3" t="inlineStr">
        <is>
          <t>처음 설비를 배치하고 산출물을 받을 때까지</t>
        </is>
      </c>
      <c r="E7" s="3" t="inlineStr">
        <is>
          <t>시작 후 20분 안. 연료·원재료가 왜 필요한지 화면에서 알 수 있다</t>
        </is>
      </c>
      <c r="F7" s="16" t="inlineStr"/>
      <c r="G7" s="17" t="inlineStr"/>
    </row>
    <row r="8" ht="31.4" customHeight="1">
      <c r="A8" s="14" t="n">
        <v>4</v>
      </c>
      <c r="B8" s="14" t="inlineStr">
        <is>
          <t>진행/완주</t>
        </is>
      </c>
      <c r="C8" s="20" t="inlineStr">
        <is>
          <t>전송기 단계 진행</t>
        </is>
      </c>
      <c r="D8" s="3" t="inlineStr">
        <is>
          <t>시간에너지 전송기 단계를 순서대로 올림</t>
        </is>
      </c>
      <c r="E8" s="3" t="inlineStr">
        <is>
          <t>각 단계 요구 자원이 그 시점 공장으로 모을 수 있는 양이다</t>
        </is>
      </c>
      <c r="F8" s="16" t="inlineStr"/>
      <c r="G8" s="17" t="inlineStr"/>
    </row>
    <row r="9" ht="18.2" customHeight="1">
      <c r="A9" s="14" t="n">
        <v>5</v>
      </c>
      <c r="B9" s="14" t="inlineStr">
        <is>
          <t>진행/완주</t>
        </is>
      </c>
      <c r="C9" s="20" t="inlineStr">
        <is>
          <t>지역 워프 전부 해금</t>
        </is>
      </c>
      <c r="D9" s="3" t="inlineStr">
        <is>
          <t>모든 지역의 워프를 밟아 활성화</t>
        </is>
      </c>
      <c r="E9" s="3" t="inlineStr">
        <is>
          <t>닿을 수 없는 워프가 없다</t>
        </is>
      </c>
      <c r="F9" s="16" t="inlineStr"/>
      <c r="G9" s="17" t="inlineStr"/>
    </row>
    <row r="10" ht="31.4" customHeight="1">
      <c r="A10" s="14" t="n">
        <v>6</v>
      </c>
      <c r="B10" s="14" t="inlineStr">
        <is>
          <t>진행/완주</t>
        </is>
      </c>
      <c r="C10" s="20" t="inlineStr">
        <is>
          <t>보스 처치</t>
        </is>
      </c>
      <c r="D10" s="3" t="inlineStr">
        <is>
          <t>와이번(보스) 을 처치</t>
        </is>
      </c>
      <c r="E10" s="3" t="inlineStr">
        <is>
          <t>그 시점 장비·소모품으로 3회 이내 시도에 처치 가능</t>
        </is>
      </c>
      <c r="F10" s="16" t="inlineStr"/>
      <c r="G10" s="17" t="inlineStr"/>
    </row>
    <row r="11" ht="31.4" customHeight="1">
      <c r="A11" s="14" t="n">
        <v>7</v>
      </c>
      <c r="B11" s="14" t="inlineStr">
        <is>
          <t>진행/완주</t>
        </is>
      </c>
      <c r="C11" s="20" t="inlineStr">
        <is>
          <t>우주선 수리 → 엔딩</t>
        </is>
      </c>
      <c r="D11" s="3" t="inlineStr">
        <is>
          <t>우주선 수리 자원을 모아 엔딩 도달</t>
        </is>
      </c>
      <c r="E11" s="3" t="inlineStr">
        <is>
          <t>요구 자원이 후반 공장 산출량과 맞고, 엔딩 컷신이 끝까지 재생</t>
        </is>
      </c>
      <c r="F11" s="16" t="inlineStr"/>
      <c r="G11" s="17" t="inlineStr"/>
    </row>
    <row r="12" ht="31.4" customHeight="1">
      <c r="A12" s="14" t="n">
        <v>8</v>
      </c>
      <c r="B12" s="14" t="inlineStr">
        <is>
          <t>진행/완주</t>
        </is>
      </c>
      <c r="C12" s="20" t="inlineStr">
        <is>
          <t>사망 후 복귀</t>
        </is>
      </c>
      <c r="D12" s="3" t="inlineStr">
        <is>
          <t>결계 밖에서 사망 후 재도전</t>
        </is>
      </c>
      <c r="E12" s="3" t="inlineStr">
        <is>
          <t>잃는 것이 무엇인지 화면에서 알 수 있고, 다시 그 자리까지 5분 이내</t>
        </is>
      </c>
      <c r="F12" s="16" t="inlineStr"/>
      <c r="G12" s="17" t="inlineStr"/>
    </row>
    <row r="13" ht="18.2" customHeight="1">
      <c r="A13" s="14" t="n">
        <v>9</v>
      </c>
      <c r="B13" s="14" t="inlineStr">
        <is>
          <t>진행/완주</t>
        </is>
      </c>
      <c r="C13" s="20" t="inlineStr">
        <is>
          <t>완주 시간</t>
        </is>
      </c>
      <c r="D13" s="3" t="inlineStr">
        <is>
          <t>처음부터 엔딩까지 걸린 총 시간 기록</t>
        </is>
      </c>
      <c r="E13" s="3" t="inlineStr">
        <is>
          <t>체험판 목표 플레이타임과 ±30% 안</t>
        </is>
      </c>
      <c r="F13" s="16" t="inlineStr"/>
      <c r="G13" s="17" t="inlineStr"/>
    </row>
    <row r="14" ht="31.4" customHeight="1">
      <c r="A14" s="18" t="n">
        <v>10</v>
      </c>
      <c r="B14" s="18" t="inlineStr">
        <is>
          <t>밸런스</t>
        </is>
      </c>
      <c r="C14" s="21" t="inlineStr">
        <is>
          <t>시간에너지 감소 속도</t>
        </is>
      </c>
      <c r="D14" s="19" t="inlineStr">
        <is>
          <t>결계 밖에서 가만히 서서 감소량 관찰</t>
        </is>
      </c>
      <c r="E14" s="19" t="inlineStr">
        <is>
          <t>탐험 한 번(왕복) 에 30~50% 소모. 100% 를 다 쓰기 전에 귀환 판단이 가능</t>
        </is>
      </c>
      <c r="F14" s="16" t="inlineStr"/>
      <c r="G14" s="17" t="inlineStr"/>
    </row>
    <row r="15" ht="31.4" customHeight="1">
      <c r="A15" s="18" t="n">
        <v>11</v>
      </c>
      <c r="B15" s="18" t="inlineStr">
        <is>
          <t>밸런스</t>
        </is>
      </c>
      <c r="C15" s="21" t="inlineStr">
        <is>
          <t>회복 수단 대비 소모</t>
        </is>
      </c>
      <c r="D15" s="19" t="inlineStr">
        <is>
          <t>탐험 1회 소모량 vs 결계 복귀·앰플 회복량</t>
        </is>
      </c>
      <c r="E15" s="19" t="inlineStr">
        <is>
          <t>앰플 없이 결계 왕복이 가능하되 여유가 크지 않다</t>
        </is>
      </c>
      <c r="F15" s="16" t="inlineStr"/>
      <c r="G15" s="17" t="inlineStr"/>
    </row>
    <row r="16" ht="18.2" customHeight="1">
      <c r="A16" s="18" t="n">
        <v>12</v>
      </c>
      <c r="B16" s="18" t="inlineStr">
        <is>
          <t>밸런스</t>
        </is>
      </c>
      <c r="C16" s="21" t="inlineStr">
        <is>
          <t>앰플 효과 체감</t>
        </is>
      </c>
      <c r="D16" s="19" t="inlineStr">
        <is>
          <t>공격력·스태미나·회복 앰플을 각각 사용</t>
        </is>
      </c>
      <c r="E16" s="19" t="inlineStr">
        <is>
          <t>사용 전후 차이를 화면 수치 없이도 알 수 있다</t>
        </is>
      </c>
      <c r="F16" s="16" t="inlineStr"/>
      <c r="G16" s="17" t="inlineStr"/>
    </row>
    <row r="17" ht="31.4" customHeight="1">
      <c r="A17" s="18" t="n">
        <v>13</v>
      </c>
      <c r="B17" s="18" t="inlineStr">
        <is>
          <t>밸런스</t>
        </is>
      </c>
      <c r="C17" s="21" t="inlineStr">
        <is>
          <t>채집 속도</t>
        </is>
      </c>
      <c r="D17" s="19" t="inlineStr">
        <is>
          <t>자원 노드 하나를 손으로 채집</t>
        </is>
      </c>
      <c r="E17" s="19" t="inlineStr">
        <is>
          <t>설비를 짓고 싶어질 만큼 느리되, 초반 필요량은 손으로 모을 수 있다</t>
        </is>
      </c>
      <c r="F17" s="16" t="inlineStr"/>
      <c r="G17" s="17" t="inlineStr"/>
    </row>
    <row r="18" ht="18.2" customHeight="1">
      <c r="A18" s="18" t="n">
        <v>14</v>
      </c>
      <c r="B18" s="18" t="inlineStr">
        <is>
          <t>밸런스</t>
        </is>
      </c>
      <c r="C18" s="21" t="inlineStr">
        <is>
          <t>초반 자원 수급</t>
        </is>
      </c>
      <c r="D18" s="19" t="inlineStr">
        <is>
          <t>첫 설비 세트(채굴기+연료) 재료 모으기</t>
        </is>
      </c>
      <c r="E18" s="19" t="inlineStr">
        <is>
          <t>손 채집 10분 이내</t>
        </is>
      </c>
      <c r="F18" s="16" t="inlineStr"/>
      <c r="G18" s="17" t="inlineStr"/>
    </row>
    <row r="19" ht="31.4" customHeight="1">
      <c r="A19" s="18" t="n">
        <v>15</v>
      </c>
      <c r="B19" s="18" t="inlineStr">
        <is>
          <t>밸런스</t>
        </is>
      </c>
      <c r="C19" s="21" t="inlineStr">
        <is>
          <t>연료 소모</t>
        </is>
      </c>
      <c r="D19" s="19" t="inlineStr">
        <is>
          <t>설비 하나가 연료 1개로 도는 시간</t>
        </is>
      </c>
      <c r="E19" s="19" t="inlineStr">
        <is>
          <t>연료 보충이 '관리' 로 느껴지되 '노동' 은 아니다</t>
        </is>
      </c>
      <c r="F19" s="16" t="inlineStr"/>
      <c r="G19" s="17" t="inlineStr"/>
    </row>
    <row r="20" ht="31.4" customHeight="1">
      <c r="A20" s="18" t="n">
        <v>16</v>
      </c>
      <c r="B20" s="18" t="inlineStr">
        <is>
          <t>밸런스</t>
        </is>
      </c>
      <c r="C20" s="21" t="inlineStr">
        <is>
          <t>벨트 처리량</t>
        </is>
      </c>
      <c r="D20" s="19" t="inlineStr">
        <is>
          <t>채굴기 출력을 벨트로 다음 설비에 연결</t>
        </is>
      </c>
      <c r="E20" s="19" t="inlineStr">
        <is>
          <t>벨트에 자원이 쌓여 막히는 지점이 어디인지 보인다</t>
        </is>
      </c>
      <c r="F20" s="16" t="inlineStr"/>
      <c r="G20" s="17" t="inlineStr"/>
    </row>
    <row r="21" ht="31.4" customHeight="1">
      <c r="A21" s="18" t="n">
        <v>17</v>
      </c>
      <c r="B21" s="18" t="inlineStr">
        <is>
          <t>밸런스</t>
        </is>
      </c>
      <c r="C21" s="21" t="inlineStr">
        <is>
          <t>분리기+변환기 루프</t>
        </is>
      </c>
      <c r="D21" s="19" t="inlineStr">
        <is>
          <t>분리기 → 변환기 → 분리기 순환 구성</t>
        </is>
      </c>
      <c r="E21" s="19" t="inlineStr">
        <is>
          <t>6초당 자원이 2배로 느는 루프가 성립하는지 확인. 의도된 것인지 기획 확인 필요</t>
        </is>
      </c>
      <c r="F21" s="16" t="inlineStr"/>
      <c r="G21" s="17" t="inlineStr"/>
    </row>
    <row r="22" ht="31.4" customHeight="1">
      <c r="A22" s="18" t="n">
        <v>18</v>
      </c>
      <c r="B22" s="18" t="inlineStr">
        <is>
          <t>밸런스</t>
        </is>
      </c>
      <c r="C22" s="21" t="inlineStr">
        <is>
          <t>코어 업그레이드 성공률</t>
        </is>
      </c>
      <c r="D22" s="19" t="inlineStr">
        <is>
          <t>키트를 모아 업그레이드 10회 시도</t>
        </is>
      </c>
      <c r="E22" s="19" t="inlineStr">
        <is>
          <t>실패 시 키트가 소모되는 것을 플레이어가 납득할 수 있는 성공률</t>
        </is>
      </c>
      <c r="F22" s="16" t="inlineStr"/>
      <c r="G22" s="17" t="inlineStr"/>
    </row>
    <row r="23" ht="31.4" customHeight="1">
      <c r="A23" s="18" t="n">
        <v>19</v>
      </c>
      <c r="B23" s="18" t="inlineStr">
        <is>
          <t>밸런스</t>
        </is>
      </c>
      <c r="C23" s="21" t="inlineStr">
        <is>
          <t>스태미나 소모</t>
        </is>
      </c>
      <c r="D23" s="19" t="inlineStr">
        <is>
          <t>대시·공격·점프를 연속으로</t>
        </is>
      </c>
      <c r="E23" s="19" t="inlineStr">
        <is>
          <t>전투 한 번에 2~3번 바닥을 본다. 항상 넉넉하지도 항상 부족하지도 않다</t>
        </is>
      </c>
      <c r="F23" s="16" t="inlineStr"/>
      <c r="G23" s="17" t="inlineStr"/>
    </row>
    <row r="24" ht="31.4" customHeight="1">
      <c r="A24" s="18" t="n">
        <v>20</v>
      </c>
      <c r="B24" s="18" t="inlineStr">
        <is>
          <t>밸런스</t>
        </is>
      </c>
      <c r="C24" s="21" t="inlineStr">
        <is>
          <t>필드 몬스터 체력</t>
        </is>
      </c>
      <c r="D24" s="19" t="inlineStr">
        <is>
          <t>일반 몬스터 처치에 걸리는 타수</t>
        </is>
      </c>
      <c r="E24" s="19" t="inlineStr">
        <is>
          <t>기본 무기 3~6타. 와이번(필드, HP 30) 과 와이번(보스, HP 585) 이름이 같아 혼동 여부도 본다</t>
        </is>
      </c>
      <c r="F24" s="16" t="inlineStr"/>
      <c r="G24" s="17" t="inlineStr"/>
    </row>
    <row r="25" ht="31.4" customHeight="1">
      <c r="A25" s="18" t="n">
        <v>21</v>
      </c>
      <c r="B25" s="18" t="inlineStr">
        <is>
          <t>밸런스</t>
        </is>
      </c>
      <c r="C25" s="21" t="inlineStr">
        <is>
          <t>적 피해량</t>
        </is>
      </c>
      <c r="D25" s="19" t="inlineStr">
        <is>
          <t>일반 몬스터에게 연속 피격</t>
        </is>
      </c>
      <c r="E25" s="19" t="inlineStr">
        <is>
          <t>3~5회 피격에 위험을 느낀다. 한 방에 반 이상 깎이지 않는다</t>
        </is>
      </c>
      <c r="F25" s="16" t="inlineStr"/>
      <c r="G25" s="17" t="inlineStr"/>
    </row>
    <row r="26" ht="31.4" customHeight="1">
      <c r="A26" s="18" t="n">
        <v>22</v>
      </c>
      <c r="B26" s="18" t="inlineStr">
        <is>
          <t>밸런스</t>
        </is>
      </c>
      <c r="C26" s="21" t="inlineStr">
        <is>
          <t>적 밀도</t>
        </is>
      </c>
      <c r="D26" s="19" t="inlineStr">
        <is>
          <t>각 지역을 통과하며 교전 횟수 기록</t>
        </is>
      </c>
      <c r="E26" s="19" t="inlineStr">
        <is>
          <t>자원 채집 동선에서 교전을 피할 수 있는 길이 하나는 있다</t>
        </is>
      </c>
      <c r="F26" s="16" t="inlineStr"/>
      <c r="G26" s="17" t="inlineStr"/>
    </row>
    <row r="27" ht="31.4" customHeight="1">
      <c r="A27" s="18" t="n">
        <v>23</v>
      </c>
      <c r="B27" s="18" t="inlineStr">
        <is>
          <t>밸런스</t>
        </is>
      </c>
      <c r="C27" s="21" t="inlineStr">
        <is>
          <t>보스 패턴</t>
        </is>
      </c>
      <c r="D27" s="19" t="inlineStr">
        <is>
          <t>보스 패턴별 회피 성공률</t>
        </is>
      </c>
      <c r="E27" s="19" t="inlineStr">
        <is>
          <t>전조 VFX 를 보고 피할 수 있다. 첫 시도에서 패턴을 하나 이상 읽어낸다</t>
        </is>
      </c>
      <c r="F27" s="16" t="inlineStr"/>
      <c r="G27" s="17" t="inlineStr"/>
    </row>
    <row r="28" ht="18.2" customHeight="1">
      <c r="A28" s="18" t="n">
        <v>24</v>
      </c>
      <c r="B28" s="18" t="inlineStr">
        <is>
          <t>밸런스</t>
        </is>
      </c>
      <c r="C28" s="21" t="inlineStr">
        <is>
          <t>타임캐치 판정 폭</t>
        </is>
      </c>
      <c r="D28" s="19" t="inlineStr">
        <is>
          <t>타임캐치 PERFECT(+20%p) / GOOD(+8%p) 판정</t>
        </is>
      </c>
      <c r="E28" s="19" t="inlineStr">
        <is>
          <t>PERFECT 가 연습하면 나온다. 10회 중 3~5회</t>
        </is>
      </c>
      <c r="F28" s="16" t="inlineStr"/>
      <c r="G28" s="17" t="inlineStr"/>
    </row>
    <row r="29" ht="31.4" customHeight="1">
      <c r="A29" s="18" t="n">
        <v>25</v>
      </c>
      <c r="B29" s="18" t="inlineStr">
        <is>
          <t>밸런스</t>
        </is>
      </c>
      <c r="C29" s="21" t="inlineStr">
        <is>
          <t>귀환석 쿨타임</t>
        </is>
      </c>
      <c r="D29" s="19" t="inlineStr">
        <is>
          <t>Lv1~3 쿨타임 15/10/5분 (결계 밖 시간만 차감)</t>
        </is>
      </c>
      <c r="E29" s="19" t="inlineStr">
        <is>
          <t>탐험 한 번에 한 번 쓸 수 있는 정도. 남용도 못 하고 못 쓰지도 않는다</t>
        </is>
      </c>
      <c r="F29" s="16" t="inlineStr"/>
      <c r="G29" s="17" t="inlineStr"/>
    </row>
    <row r="30" ht="31.4" customHeight="1">
      <c r="A30" s="18" t="n">
        <v>26</v>
      </c>
      <c r="B30" s="18" t="inlineStr">
        <is>
          <t>밸런스</t>
        </is>
      </c>
      <c r="C30" s="21" t="inlineStr">
        <is>
          <t>인벤토리 슬롯</t>
        </is>
      </c>
      <c r="D30" s="19" t="inlineStr">
        <is>
          <t>탐험 한 번 동안 채집한 양</t>
        </is>
      </c>
      <c r="E30" s="19" t="inlineStr">
        <is>
          <t>탐험 후반에 슬롯이 차서 버릴지 돌아갈지 고르는 순간이 온다</t>
        </is>
      </c>
      <c r="F30" s="16" t="inlineStr"/>
      <c r="G30" s="17" t="inlineStr"/>
    </row>
    <row r="31" ht="31.4" customHeight="1">
      <c r="A31" s="18" t="n">
        <v>27</v>
      </c>
      <c r="B31" s="18" t="inlineStr">
        <is>
          <t>밸런스</t>
        </is>
      </c>
      <c r="C31" s="21" t="inlineStr">
        <is>
          <t>제작 시간</t>
        </is>
      </c>
      <c r="D31" s="19" t="inlineStr">
        <is>
          <t>설비 제작 대기 시간 체감</t>
        </is>
      </c>
      <c r="E31" s="19" t="inlineStr">
        <is>
          <t>기다리는 동안 할 일이 있다. 화면 앞에서 멍하니 서 있는 구간이 없다</t>
        </is>
      </c>
      <c r="F31" s="16" t="inlineStr"/>
      <c r="G31" s="17" t="inlineStr"/>
    </row>
    <row r="32" ht="18.2" customHeight="1">
      <c r="A32" s="18" t="n">
        <v>28</v>
      </c>
      <c r="B32" s="18" t="inlineStr">
        <is>
          <t>밸런스</t>
        </is>
      </c>
      <c r="C32" s="21" t="inlineStr">
        <is>
          <t>퀘스트 보상</t>
        </is>
      </c>
      <c r="D32" s="19" t="inlineStr">
        <is>
          <t>퀘스트 완료 보상 vs 들인 시간</t>
        </is>
      </c>
      <c r="E32" s="19" t="inlineStr">
        <is>
          <t>보상이 다음 목표에 바로 쓰인다</t>
        </is>
      </c>
      <c r="F32" s="16" t="inlineStr"/>
      <c r="G32" s="17" t="inlineStr"/>
    </row>
    <row r="33" ht="31.4" customHeight="1">
      <c r="A33" s="18" t="n">
        <v>29</v>
      </c>
      <c r="B33" s="18" t="inlineStr">
        <is>
          <t>밸런스</t>
        </is>
      </c>
      <c r="C33" s="21" t="inlineStr">
        <is>
          <t>도감 마스터 보상</t>
        </is>
      </c>
      <c r="D33" s="19" t="inlineStr">
        <is>
          <t>레시피 전부 마스터 시 masterReward</t>
        </is>
      </c>
      <c r="E33" s="19" t="inlineStr">
        <is>
          <t>전부 마스터하는 데 드는 시간 대비 보상이 의미 있다</t>
        </is>
      </c>
      <c r="F33" s="16" t="inlineStr"/>
      <c r="G33" s="17" t="inlineStr"/>
    </row>
    <row r="34" ht="31.4" customHeight="1">
      <c r="A34" s="18" t="n">
        <v>30</v>
      </c>
      <c r="B34" s="18" t="inlineStr">
        <is>
          <t>밸런스</t>
        </is>
      </c>
      <c r="C34" s="21" t="inlineStr">
        <is>
          <t>드롭률</t>
        </is>
      </c>
      <c r="D34" s="19" t="inlineStr">
        <is>
          <t>몬스터 20마리 처치 후 드롭 집계</t>
        </is>
      </c>
      <c r="E34" s="19" t="inlineStr">
        <is>
          <t>필요 재료가 나오지 않아 같은 몬스터를 30분 이상 반복하는 일이 없다</t>
        </is>
      </c>
      <c r="F34" s="16" t="inlineStr"/>
      <c r="G34" s="17" t="inlineStr"/>
    </row>
    <row r="35" ht="18.2" customHeight="1">
      <c r="A35" s="18" t="n">
        <v>31</v>
      </c>
      <c r="B35" s="18" t="inlineStr">
        <is>
          <t>밸런스</t>
        </is>
      </c>
      <c r="C35" s="21" t="inlineStr">
        <is>
          <t>무기별 격차</t>
        </is>
      </c>
      <c r="D35" s="19" t="inlineStr">
        <is>
          <t>무기 종류별로 같은 몬스터 처치 시간</t>
        </is>
      </c>
      <c r="E35" s="19" t="inlineStr">
        <is>
          <t>가장 빠른 무기와 느린 무기 차이가 2배 이내</t>
        </is>
      </c>
      <c r="F35" s="16" t="inlineStr"/>
      <c r="G35" s="17" t="inlineStr"/>
    </row>
    <row r="36" ht="18.2" customHeight="1">
      <c r="A36" s="18" t="n">
        <v>32</v>
      </c>
      <c r="B36" s="18" t="inlineStr">
        <is>
          <t>밸런스</t>
        </is>
      </c>
      <c r="C36" s="21" t="inlineStr">
        <is>
          <t>기믹 해결 시간</t>
        </is>
      </c>
      <c r="D36" s="19" t="inlineStr">
        <is>
          <t>레이저 결계 등 기믹 하나 해결에 걸린 시간</t>
        </is>
      </c>
      <c r="E36" s="19" t="inlineStr">
        <is>
          <t>1~5분. 힌트 없이 10분 넘으면 문제</t>
        </is>
      </c>
      <c r="F36" s="16" t="inlineStr"/>
      <c r="G36" s="17" t="inlineStr"/>
    </row>
    <row r="37" ht="31.4" customHeight="1">
      <c r="A37" s="18" t="n">
        <v>33</v>
      </c>
      <c r="B37" s="18" t="inlineStr">
        <is>
          <t>밸런스</t>
        </is>
      </c>
      <c r="C37" s="21" t="inlineStr">
        <is>
          <t>자원 희소성</t>
        </is>
      </c>
      <c r="D37" s="19" t="inlineStr">
        <is>
          <t>각 자원의 노드 수와 요구량 비교</t>
        </is>
      </c>
      <c r="E37" s="19" t="inlineStr">
        <is>
          <t>특정 자원 하나가 항상 병목이면 문제. 병목이 단계마다 바뀌면 좋음</t>
        </is>
      </c>
      <c r="F37" s="16" t="inlineStr"/>
      <c r="G37" s="17" t="inlineStr"/>
    </row>
    <row r="38" ht="18.2" customHeight="1">
      <c r="A38" s="14" t="n">
        <v>34</v>
      </c>
      <c r="B38" s="14" t="inlineStr">
        <is>
          <t>FTUE</t>
        </is>
      </c>
      <c r="C38" s="20" t="inlineStr">
        <is>
          <t>첫 화면</t>
        </is>
      </c>
      <c r="D38" s="3" t="inlineStr">
        <is>
          <t>메인 메뉴를 처음 본 사람의 첫 클릭</t>
        </is>
      </c>
      <c r="E38" s="3" t="inlineStr">
        <is>
          <t>새 게임을 5초 안에 찾는다</t>
        </is>
      </c>
      <c r="F38" s="16" t="inlineStr"/>
      <c r="G38" s="17" t="inlineStr"/>
    </row>
    <row r="39" ht="31.4" customHeight="1">
      <c r="A39" s="14" t="n">
        <v>35</v>
      </c>
      <c r="B39" s="14" t="inlineStr">
        <is>
          <t>FTUE</t>
        </is>
      </c>
      <c r="C39" s="20" t="inlineStr">
        <is>
          <t>조작 인지</t>
        </is>
      </c>
      <c r="D39" s="3" t="inlineStr">
        <is>
          <t>이동·카메라·점프·대시·공격을 안내 없이</t>
        </is>
      </c>
      <c r="E39" s="3" t="inlineStr">
        <is>
          <t>1분 안에 다 찾아낸다. 못 찾는 키가 있으면 어떤 키인지 기록</t>
        </is>
      </c>
      <c r="F39" s="16" t="inlineStr"/>
      <c r="G39" s="17" t="inlineStr"/>
    </row>
    <row r="40" ht="31.4" customHeight="1">
      <c r="A40" s="14" t="n">
        <v>36</v>
      </c>
      <c r="B40" s="14" t="inlineStr">
        <is>
          <t>FTUE</t>
        </is>
      </c>
      <c r="C40" s="20" t="inlineStr">
        <is>
          <t>컷신 스킵</t>
        </is>
      </c>
      <c r="D40" s="3" t="inlineStr">
        <is>
          <t>프롤로그 컷신 중 스킵 가능 여부 인지</t>
        </is>
      </c>
      <c r="E40" s="3" t="inlineStr">
        <is>
          <t>스킵 안내가 보이고, 두 번째 플레이에서는 바로 넘길 수 있다</t>
        </is>
      </c>
      <c r="F40" s="16" t="inlineStr"/>
      <c r="G40" s="17" t="inlineStr"/>
    </row>
    <row r="41" ht="31.4" customHeight="1">
      <c r="A41" s="14" t="n">
        <v>37</v>
      </c>
      <c r="B41" s="14" t="inlineStr">
        <is>
          <t>FTUE</t>
        </is>
      </c>
      <c r="C41" s="20" t="inlineStr">
        <is>
          <t>HP = 시간 개념</t>
        </is>
      </c>
      <c r="D41" s="3" t="inlineStr">
        <is>
          <t>체력이 시간에너지라는 것을 언제 이해하는지</t>
        </is>
      </c>
      <c r="E41" s="3" t="inlineStr">
        <is>
          <t>첫 결계 밖 진출 전에 이해한다. 대사·UI 어디서 알게 됐는지 기록</t>
        </is>
      </c>
      <c r="F41" s="16" t="inlineStr"/>
      <c r="G41" s="17" t="inlineStr"/>
    </row>
    <row r="42" ht="31.4" customHeight="1">
      <c r="A42" s="14" t="n">
        <v>38</v>
      </c>
      <c r="B42" s="14" t="inlineStr">
        <is>
          <t>FTUE</t>
        </is>
      </c>
      <c r="C42" s="20" t="inlineStr">
        <is>
          <t>첫 전투</t>
        </is>
      </c>
      <c r="D42" s="3" t="inlineStr">
        <is>
          <t>첫 몬스터와 교전</t>
        </is>
      </c>
      <c r="E42" s="3" t="inlineStr">
        <is>
          <t>죽지 않고 이긴다. 공격 버튼을 몰라서 맞기만 하는 시간이 없다</t>
        </is>
      </c>
      <c r="F42" s="16" t="inlineStr"/>
      <c r="G42" s="17" t="inlineStr"/>
    </row>
    <row r="43" ht="31.4" customHeight="1">
      <c r="A43" s="14" t="n">
        <v>39</v>
      </c>
      <c r="B43" s="14" t="inlineStr">
        <is>
          <t>FTUE</t>
        </is>
      </c>
      <c r="C43" s="20" t="inlineStr">
        <is>
          <t>첫 채집</t>
        </is>
      </c>
      <c r="D43" s="3" t="inlineStr">
        <is>
          <t>첫 자원 노드 채집</t>
        </is>
      </c>
      <c r="E43" s="3" t="inlineStr">
        <is>
          <t>노드가 채집 가능하다는 것이 보인다 (하이라이트·프롬프트)</t>
        </is>
      </c>
      <c r="F43" s="16" t="inlineStr"/>
      <c r="G43" s="17" t="inlineStr"/>
    </row>
    <row r="44" ht="31.4" customHeight="1">
      <c r="A44" s="14" t="n">
        <v>40</v>
      </c>
      <c r="B44" s="14" t="inlineStr">
        <is>
          <t>FTUE</t>
        </is>
      </c>
      <c r="C44" s="20" t="inlineStr">
        <is>
          <t>첫 설비 배치</t>
        </is>
      </c>
      <c r="D44" s="3" t="inlineStr">
        <is>
          <t>설비 배치 UI 첫 사용</t>
        </is>
      </c>
      <c r="E44" s="3" t="inlineStr">
        <is>
          <t>그리드·회전·취소를 안내 없이 찾는다. 잘못 놓았을 때 되돌릴 수 있다는 것을 안다</t>
        </is>
      </c>
      <c r="F44" s="16" t="inlineStr"/>
      <c r="G44" s="17" t="inlineStr"/>
    </row>
    <row r="45" ht="18.2" customHeight="1">
      <c r="A45" s="14" t="n">
        <v>41</v>
      </c>
      <c r="B45" s="14" t="inlineStr">
        <is>
          <t>FTUE</t>
        </is>
      </c>
      <c r="C45" s="20" t="inlineStr">
        <is>
          <t>퀘스트 목표 표시</t>
        </is>
      </c>
      <c r="D45" s="3" t="inlineStr">
        <is>
          <t>현재 목표가 화면 어디에 있는지</t>
        </is>
      </c>
      <c r="E45" s="3" t="inlineStr">
        <is>
          <t>3초 안에 찾는다</t>
        </is>
      </c>
      <c r="F45" s="16" t="inlineStr"/>
      <c r="G45" s="17" t="inlineStr"/>
    </row>
    <row r="46" ht="31.4" customHeight="1">
      <c r="A46" s="14" t="n">
        <v>42</v>
      </c>
      <c r="B46" s="14" t="inlineStr">
        <is>
          <t>FTUE</t>
        </is>
      </c>
      <c r="C46" s="20" t="inlineStr">
        <is>
          <t>지도·워프 소개</t>
        </is>
      </c>
      <c r="D46" s="3" t="inlineStr">
        <is>
          <t>처음 워프를 밟는 순간</t>
        </is>
      </c>
      <c r="E46" s="3" t="inlineStr">
        <is>
          <t>이게 무엇인지, 다음에 어디로 돌아올 수 있는지 이해한다</t>
        </is>
      </c>
      <c r="F46" s="16" t="inlineStr"/>
      <c r="G46" s="17" t="inlineStr"/>
    </row>
    <row r="47" ht="31.4" customHeight="1">
      <c r="A47" s="14" t="n">
        <v>43</v>
      </c>
      <c r="B47" s="14" t="inlineStr">
        <is>
          <t>FTUE</t>
        </is>
      </c>
      <c r="C47" s="20" t="inlineStr">
        <is>
          <t>세이브 인지</t>
        </is>
      </c>
      <c r="D47" s="3" t="inlineStr">
        <is>
          <t>처음 저장이 일어나는 시점</t>
        </is>
      </c>
      <c r="E47" s="3" t="inlineStr">
        <is>
          <t>자동 저장인지 수동인지 플레이어가 안다. 종료 전 불안해하지 않는다</t>
        </is>
      </c>
      <c r="F47" s="16" t="inlineStr"/>
      <c r="G47" s="17" t="inlineStr"/>
    </row>
    <row r="48" ht="31.4" customHeight="1">
      <c r="A48" s="18" t="n">
        <v>44</v>
      </c>
      <c r="B48" s="18" t="inlineStr">
        <is>
          <t>동선/레벨</t>
        </is>
      </c>
      <c r="C48" s="21" t="inlineStr">
        <is>
          <t>기지-자원 거리</t>
        </is>
      </c>
      <c r="D48" s="19" t="inlineStr">
        <is>
          <t>기지에서 각 자원 노드까지 왕복 시간</t>
        </is>
      </c>
      <c r="E48" s="19" t="inlineStr">
        <is>
          <t>가까운 자원 1분, 먼 자원 3분 이내. 먼 곳에는 워프가 있다</t>
        </is>
      </c>
      <c r="F48" s="16" t="inlineStr"/>
      <c r="G48" s="17" t="inlineStr"/>
    </row>
    <row r="49" ht="18.2" customHeight="1">
      <c r="A49" s="18" t="n">
        <v>45</v>
      </c>
      <c r="B49" s="18" t="inlineStr">
        <is>
          <t>동선/레벨</t>
        </is>
      </c>
      <c r="C49" s="21" t="inlineStr">
        <is>
          <t>워프 배치</t>
        </is>
      </c>
      <c r="D49" s="19" t="inlineStr">
        <is>
          <t>워프 위치와 주요 목적지 거리</t>
        </is>
      </c>
      <c r="E49" s="19" t="inlineStr">
        <is>
          <t>워프에서 목적지까지 30초 이내</t>
        </is>
      </c>
      <c r="F49" s="16" t="inlineStr"/>
      <c r="G49" s="17" t="inlineStr"/>
    </row>
    <row r="50" ht="31.4" customHeight="1">
      <c r="A50" s="18" t="n">
        <v>46</v>
      </c>
      <c r="B50" s="18" t="inlineStr">
        <is>
          <t>동선/레벨</t>
        </is>
      </c>
      <c r="C50" s="21" t="inlineStr">
        <is>
          <t>막다른 길</t>
        </is>
      </c>
      <c r="D50" s="19" t="inlineStr">
        <is>
          <t>지형을 따라 갔을 때 되돌아와야 하는 곳</t>
        </is>
      </c>
      <c r="E50" s="19" t="inlineStr">
        <is>
          <t>막다른 길에는 보상(자원·아이템) 이 있다. 빈 막다른 길은 기록</t>
        </is>
      </c>
      <c r="F50" s="16" t="inlineStr"/>
      <c r="G50" s="17" t="inlineStr"/>
    </row>
    <row r="51" ht="18.2" customHeight="1">
      <c r="A51" s="18" t="n">
        <v>47</v>
      </c>
      <c r="B51" s="18" t="inlineStr">
        <is>
          <t>동선/레벨</t>
        </is>
      </c>
      <c r="C51" s="21" t="inlineStr">
        <is>
          <t>지형 끼임</t>
        </is>
      </c>
      <c r="D51" s="19" t="inlineStr">
        <is>
          <t>바위·나무·설비 사이를 비집고 들어가기</t>
        </is>
      </c>
      <c r="E51" s="19" t="inlineStr">
        <is>
          <t>끼여서 못 나오는 곳이 없다. 있으면 좌표 기록</t>
        </is>
      </c>
      <c r="F51" s="16" t="inlineStr"/>
      <c r="G51" s="17" t="inlineStr"/>
    </row>
    <row r="52" ht="31.4" customHeight="1">
      <c r="A52" s="18" t="n">
        <v>48</v>
      </c>
      <c r="B52" s="18" t="inlineStr">
        <is>
          <t>동선/레벨</t>
        </is>
      </c>
      <c r="C52" s="21" t="inlineStr">
        <is>
          <t>낙사·추락</t>
        </is>
      </c>
      <c r="D52" s="19" t="inlineStr">
        <is>
          <t>지형 가장자리에서 떨어지기</t>
        </is>
      </c>
      <c r="E52" s="19" t="inlineStr">
        <is>
          <t>떨어져도 돌아올 수 있다. 영구히 못 나오는 곳이 없다</t>
        </is>
      </c>
      <c r="F52" s="16" t="inlineStr"/>
      <c r="G52" s="17" t="inlineStr"/>
    </row>
    <row r="53" ht="31.4" customHeight="1">
      <c r="A53" s="18" t="n">
        <v>49</v>
      </c>
      <c r="B53" s="18" t="inlineStr">
        <is>
          <t>동선/레벨</t>
        </is>
      </c>
      <c r="C53" s="21" t="inlineStr">
        <is>
          <t>자원 노드 분포</t>
        </is>
      </c>
      <c r="D53" s="19" t="inlineStr">
        <is>
          <t>각 지역의 노드 종류와 수</t>
        </is>
      </c>
      <c r="E53" s="19" t="inlineStr">
        <is>
          <t>지역마다 특색 자원이 있어 '어디 가야 하는지' 를 기억할 수 있다</t>
        </is>
      </c>
      <c r="F53" s="16" t="inlineStr"/>
      <c r="G53" s="17" t="inlineStr"/>
    </row>
    <row r="54" ht="31.4" customHeight="1">
      <c r="A54" s="18" t="n">
        <v>50</v>
      </c>
      <c r="B54" s="18" t="inlineStr">
        <is>
          <t>동선/레벨</t>
        </is>
      </c>
      <c r="C54" s="21" t="inlineStr">
        <is>
          <t>적 배치</t>
        </is>
      </c>
      <c r="D54" s="19" t="inlineStr">
        <is>
          <t>적이 서 있는 위치와 자원 노드 위치</t>
        </is>
      </c>
      <c r="E54" s="19" t="inlineStr">
        <is>
          <t>자원 노드 바로 옆에 적이 있어 채집이 항상 전투가 되는 곳은 기록</t>
        </is>
      </c>
      <c r="F54" s="16" t="inlineStr"/>
      <c r="G54" s="17" t="inlineStr"/>
    </row>
    <row r="55" ht="31.4" customHeight="1">
      <c r="A55" s="18" t="n">
        <v>51</v>
      </c>
      <c r="B55" s="18" t="inlineStr">
        <is>
          <t>동선/레벨</t>
        </is>
      </c>
      <c r="C55" s="21" t="inlineStr">
        <is>
          <t>기믹 발견성</t>
        </is>
      </c>
      <c r="D55" s="19" t="inlineStr">
        <is>
          <t>기믹(레이저 결계 등) 을 처음 발견하는 경로</t>
        </is>
      </c>
      <c r="E55" s="19" t="inlineStr">
        <is>
          <t>정상 동선에서 보인다. 숨겨진 기믹은 힌트가 있다</t>
        </is>
      </c>
      <c r="F55" s="16" t="inlineStr"/>
      <c r="G55" s="17" t="inlineStr"/>
    </row>
    <row r="56" ht="18.2" customHeight="1">
      <c r="A56" s="18" t="n">
        <v>52</v>
      </c>
      <c r="B56" s="18" t="inlineStr">
        <is>
          <t>동선/레벨</t>
        </is>
      </c>
      <c r="C56" s="21" t="inlineStr">
        <is>
          <t>우주선 위치</t>
        </is>
      </c>
      <c r="D56" s="19" t="inlineStr">
        <is>
          <t>우주선까지의 동선과 방문 빈도</t>
        </is>
      </c>
      <c r="E56" s="19" t="inlineStr">
        <is>
          <t>수리 자원을 들고 갈 때 부담이 없다</t>
        </is>
      </c>
      <c r="F56" s="16" t="inlineStr"/>
      <c r="G56" s="17" t="inlineStr"/>
    </row>
    <row r="57" ht="31.4" customHeight="1">
      <c r="A57" s="18" t="n">
        <v>53</v>
      </c>
      <c r="B57" s="18" t="inlineStr">
        <is>
          <t>동선/레벨</t>
        </is>
      </c>
      <c r="C57" s="21" t="inlineStr">
        <is>
          <t>카메라 걸림</t>
        </is>
      </c>
      <c r="D57" s="19" t="inlineStr">
        <is>
          <t>좁은 곳·벽 옆·설비 사이에서 카메라</t>
        </is>
      </c>
      <c r="E57" s="19" t="inlineStr">
        <is>
          <t>카메라가 벽 안으로 들어가거나 플레이어를 가리는 곳 기록</t>
        </is>
      </c>
      <c r="F57" s="16" t="inlineStr"/>
      <c r="G57" s="17" t="inlineStr"/>
    </row>
    <row r="58" ht="31.4" customHeight="1">
      <c r="A58" s="14" t="n">
        <v>54</v>
      </c>
      <c r="B58" s="14" t="inlineStr">
        <is>
          <t>체감/피드백</t>
        </is>
      </c>
      <c r="C58" s="20" t="inlineStr">
        <is>
          <t>피격 피드백</t>
        </is>
      </c>
      <c r="D58" s="3" t="inlineStr">
        <is>
          <t>몬스터에게 맞았을 때</t>
        </is>
      </c>
      <c r="E58" s="3" t="inlineStr">
        <is>
          <t>화면·소리·모션으로 맞았음을 즉시 안다. 시간에너지가 줄어든 것이 보인다</t>
        </is>
      </c>
      <c r="F58" s="16" t="inlineStr"/>
      <c r="G58" s="17" t="inlineStr"/>
    </row>
    <row r="59" ht="31.4" customHeight="1">
      <c r="A59" s="14" t="n">
        <v>55</v>
      </c>
      <c r="B59" s="14" t="inlineStr">
        <is>
          <t>체감/피드백</t>
        </is>
      </c>
      <c r="C59" s="20" t="inlineStr">
        <is>
          <t>공격 타격감</t>
        </is>
      </c>
      <c r="D59" s="3" t="inlineStr">
        <is>
          <t>몬스터를 때렸을 때</t>
        </is>
      </c>
      <c r="E59" s="3" t="inlineStr">
        <is>
          <t>히트 정지·소리·VFX 가 한 프레임에 겹친다. 허공 치는 느낌이 없다</t>
        </is>
      </c>
      <c r="F59" s="16" t="inlineStr"/>
      <c r="G59" s="17" t="inlineStr"/>
    </row>
    <row r="60" ht="31.4" customHeight="1">
      <c r="A60" s="14" t="n">
        <v>56</v>
      </c>
      <c r="B60" s="14" t="inlineStr">
        <is>
          <t>체감/피드백</t>
        </is>
      </c>
      <c r="C60" s="20" t="inlineStr">
        <is>
          <t>발소리 타이밍</t>
        </is>
      </c>
      <c r="D60" s="3" t="inlineStr">
        <is>
          <t>걷기·달리기 발소리와 발 닿는 모션</t>
        </is>
      </c>
      <c r="E60" s="3" t="inlineStr">
        <is>
          <t>발이 땅에 닿는 순간과 소리가 맞는다. 어긋나면 어느 쪽이 빠른지 기록</t>
        </is>
      </c>
      <c r="F60" s="16" t="inlineStr"/>
      <c r="G60" s="17" t="inlineStr"/>
    </row>
    <row r="61" ht="18.2" customHeight="1">
      <c r="A61" s="14" t="n">
        <v>57</v>
      </c>
      <c r="B61" s="14" t="inlineStr">
        <is>
          <t>체감/피드백</t>
        </is>
      </c>
      <c r="C61" s="20" t="inlineStr">
        <is>
          <t>대시 반응</t>
        </is>
      </c>
      <c r="D61" s="3" t="inlineStr">
        <is>
          <t>입력에서 대시 시작까지</t>
        </is>
      </c>
      <c r="E61" s="3" t="inlineStr">
        <is>
          <t>입력 즉시 움직인다. 지연이 느껴지면 기록</t>
        </is>
      </c>
      <c r="F61" s="16" t="inlineStr"/>
      <c r="G61" s="17" t="inlineStr"/>
    </row>
    <row r="62" ht="31.4" customHeight="1">
      <c r="A62" s="14" t="n">
        <v>58</v>
      </c>
      <c r="B62" s="14" t="inlineStr">
        <is>
          <t>체감/피드백</t>
        </is>
      </c>
      <c r="C62" s="20" t="inlineStr">
        <is>
          <t>점프·착지</t>
        </is>
      </c>
      <c r="D62" s="3" t="inlineStr">
        <is>
          <t>점프 높이와 착지 무게</t>
        </is>
      </c>
      <c r="E62" s="3" t="inlineStr">
        <is>
          <t>착지 소리·모션이 있다. 낙하 모션은 뺐으므로 착지만 본다</t>
        </is>
      </c>
      <c r="F62" s="16" t="inlineStr"/>
      <c r="G62" s="17" t="inlineStr"/>
    </row>
    <row r="63" ht="31.4" customHeight="1">
      <c r="A63" s="14" t="n">
        <v>59</v>
      </c>
      <c r="B63" s="14" t="inlineStr">
        <is>
          <t>체감/피드백</t>
        </is>
      </c>
      <c r="C63" s="20" t="inlineStr">
        <is>
          <t>설비 가동 표현</t>
        </is>
      </c>
      <c r="D63" s="3" t="inlineStr">
        <is>
          <t>설비가 돌아갈 때</t>
        </is>
      </c>
      <c r="E63" s="3" t="inlineStr">
        <is>
          <t>소리·VFX 로 가동 중임을 멀리서도 안다. 멈춘 설비는 구분된다</t>
        </is>
      </c>
      <c r="F63" s="16" t="inlineStr"/>
      <c r="G63" s="17" t="inlineStr"/>
    </row>
    <row r="64" ht="31.4" customHeight="1">
      <c r="A64" s="14" t="n">
        <v>60</v>
      </c>
      <c r="B64" s="14" t="inlineStr">
        <is>
          <t>체감/피드백</t>
        </is>
      </c>
      <c r="C64" s="20" t="inlineStr">
        <is>
          <t>아이템 획득</t>
        </is>
      </c>
      <c r="D64" s="3" t="inlineStr">
        <is>
          <t>자원·아이템을 얻는 순간</t>
        </is>
      </c>
      <c r="E64" s="3" t="inlineStr">
        <is>
          <t>무엇을 몇 개 얻었는지 화면에 뜬다. 소리가 있다</t>
        </is>
      </c>
      <c r="F64" s="16" t="inlineStr"/>
      <c r="G64" s="17" t="inlineStr"/>
    </row>
    <row r="65" ht="18.2" customHeight="1">
      <c r="A65" s="14" t="n">
        <v>61</v>
      </c>
      <c r="B65" s="14" t="inlineStr">
        <is>
          <t>체감/피드백</t>
        </is>
      </c>
      <c r="C65" s="20" t="inlineStr">
        <is>
          <t>퀘스트 완료 알림</t>
        </is>
      </c>
      <c r="D65" s="3" t="inlineStr">
        <is>
          <t>퀘스트가 끝나는 순간</t>
        </is>
      </c>
      <c r="E65" s="3" t="inlineStr">
        <is>
          <t>놓치지 않는다. 보상이 무엇인지 보인다</t>
        </is>
      </c>
      <c r="F65" s="16" t="inlineStr"/>
      <c r="G65" s="17" t="inlineStr"/>
    </row>
    <row r="66" ht="18.2" customHeight="1">
      <c r="A66" s="14" t="n">
        <v>62</v>
      </c>
      <c r="B66" s="14" t="inlineStr">
        <is>
          <t>체감/피드백</t>
        </is>
      </c>
      <c r="C66" s="20" t="inlineStr">
        <is>
          <t>업그레이드 연출</t>
        </is>
      </c>
      <c r="D66" s="3" t="inlineStr">
        <is>
          <t>코어 업그레이드 성공·실패</t>
        </is>
      </c>
      <c r="E66" s="3" t="inlineStr">
        <is>
          <t>성공과 실패가 소리·화면으로 갈린다</t>
        </is>
      </c>
      <c r="F66" s="16" t="inlineStr"/>
      <c r="G66" s="17" t="inlineStr"/>
    </row>
    <row r="67" ht="18.2" customHeight="1">
      <c r="A67" s="14" t="n">
        <v>63</v>
      </c>
      <c r="B67" s="14" t="inlineStr">
        <is>
          <t>체감/피드백</t>
        </is>
      </c>
      <c r="C67" s="20" t="inlineStr">
        <is>
          <t>보스 등장</t>
        </is>
      </c>
      <c r="D67" s="3" t="inlineStr">
        <is>
          <t>보스 첫 등장</t>
        </is>
      </c>
      <c r="E67" s="3" t="inlineStr">
        <is>
          <t>일반 몬스터와 다르다는 것이 바로 느껴진다</t>
        </is>
      </c>
      <c r="F67" s="16" t="inlineStr"/>
      <c r="G67" s="17" t="inlineStr"/>
    </row>
    <row r="68" ht="31.4" customHeight="1">
      <c r="A68" s="14" t="n">
        <v>64</v>
      </c>
      <c r="B68" s="14" t="inlineStr">
        <is>
          <t>체감/피드백</t>
        </is>
      </c>
      <c r="C68" s="20" t="inlineStr">
        <is>
          <t>사망 연출</t>
        </is>
      </c>
      <c r="D68" s="3" t="inlineStr">
        <is>
          <t>시간에너지 0</t>
        </is>
      </c>
      <c r="E68" s="3" t="inlineStr">
        <is>
          <t>무슨 일이 일어났는지 이해한다. 너무 길지 않다 (5초 이내)</t>
        </is>
      </c>
      <c r="F68" s="16" t="inlineStr"/>
      <c r="G68" s="17" t="inlineStr"/>
    </row>
    <row r="69" ht="18.2" customHeight="1">
      <c r="A69" s="14" t="n">
        <v>65</v>
      </c>
      <c r="B69" s="14" t="inlineStr">
        <is>
          <t>체감/피드백</t>
        </is>
      </c>
      <c r="C69" s="20" t="inlineStr">
        <is>
          <t>카메라 흔들림</t>
        </is>
      </c>
      <c r="D69" s="3" t="inlineStr">
        <is>
          <t>피격·폭발·보스 공격 시</t>
        </is>
      </c>
      <c r="E69" s="3" t="inlineStr">
        <is>
          <t>강도가 상황에 맞다. 멀미가 나지 않는다</t>
        </is>
      </c>
      <c r="F69" s="16" t="inlineStr"/>
      <c r="G69" s="17" t="inlineStr"/>
    </row>
    <row r="70" ht="31.4" customHeight="1">
      <c r="A70" s="14" t="n">
        <v>66</v>
      </c>
      <c r="B70" s="14" t="inlineStr">
        <is>
          <t>체감/피드백</t>
        </is>
      </c>
      <c r="C70" s="20" t="inlineStr">
        <is>
          <t>UI 열림 속도</t>
        </is>
      </c>
      <c r="D70" s="3" t="inlineStr">
        <is>
          <t>인벤토리·지도·설정을 열고 닫기</t>
        </is>
      </c>
      <c r="E70" s="3" t="inlineStr">
        <is>
          <t>입력 후 즉시 열린다. 열리는 동안 조작이 씹히지 않는다</t>
        </is>
      </c>
      <c r="F70" s="16" t="inlineStr"/>
      <c r="G70" s="17" t="inlineStr"/>
    </row>
    <row r="71" ht="18.2" customHeight="1">
      <c r="A71" s="14" t="n">
        <v>67</v>
      </c>
      <c r="B71" s="14" t="inlineStr">
        <is>
          <t>체감/피드백</t>
        </is>
      </c>
      <c r="C71" s="20" t="inlineStr">
        <is>
          <t>타임캐치 판정 표시</t>
        </is>
      </c>
      <c r="D71" s="3" t="inlineStr">
        <is>
          <t>PERFECT / GOOD 판정 순간</t>
        </is>
      </c>
      <c r="E71" s="3" t="inlineStr">
        <is>
          <t>어떤 판정을 받았는지 바로 안다</t>
        </is>
      </c>
      <c r="F71" s="16" t="inlineStr"/>
      <c r="G71" s="17" t="inlineStr"/>
    </row>
    <row r="72" ht="18.2" customHeight="1">
      <c r="A72" s="14" t="n">
        <v>68</v>
      </c>
      <c r="B72" s="14" t="inlineStr">
        <is>
          <t>체감/피드백</t>
        </is>
      </c>
      <c r="C72" s="20" t="inlineStr">
        <is>
          <t>워프 페이드</t>
        </is>
      </c>
      <c r="D72" s="3" t="inlineStr">
        <is>
          <t>워프 이동 시 페이드</t>
        </is>
      </c>
      <c r="E72" s="3" t="inlineStr">
        <is>
          <t>짧고 매끄럽다. 페이드 중 조작이 새지 않는다</t>
        </is>
      </c>
      <c r="F72" s="16" t="inlineStr"/>
      <c r="G72" s="17" t="inlineStr"/>
    </row>
    <row r="73" ht="31.4" customHeight="1">
      <c r="A73" s="14" t="n">
        <v>69</v>
      </c>
      <c r="B73" s="14" t="inlineStr">
        <is>
          <t>체감/피드백</t>
        </is>
      </c>
      <c r="C73" s="20" t="inlineStr">
        <is>
          <t>BGM 전환</t>
        </is>
      </c>
      <c r="D73" s="3" t="inlineStr">
        <is>
          <t>지역·전투·기지 간 BGM 변화</t>
        </is>
      </c>
      <c r="E73" s="3" t="inlineStr">
        <is>
          <t>끊기지 않고 넘어간다. 전투 끝나면 원래 곡으로 돌아온다</t>
        </is>
      </c>
      <c r="F73" s="16" t="inlineStr"/>
      <c r="G73" s="17" t="inlineStr"/>
    </row>
    <row r="74" ht="31.4" customHeight="1">
      <c r="A74" s="18" t="n">
        <v>70</v>
      </c>
      <c r="B74" s="18" t="inlineStr">
        <is>
          <t>콘텐츠 검수</t>
        </is>
      </c>
      <c r="C74" s="21" t="inlineStr">
        <is>
          <t>오타</t>
        </is>
      </c>
      <c r="D74" s="19" t="inlineStr">
        <is>
          <t>게임 내 모든 텍스트</t>
        </is>
      </c>
      <c r="E74" s="19" t="inlineStr">
        <is>
          <t>오타·띄어쓰기 오류 0건. 발견하면 위치와 원문 기록</t>
        </is>
      </c>
      <c r="F74" s="16" t="inlineStr"/>
      <c r="G74" s="17" t="inlineStr"/>
    </row>
    <row r="75" ht="31.4" customHeight="1">
      <c r="A75" s="18" t="n">
        <v>71</v>
      </c>
      <c r="B75" s="18" t="inlineStr">
        <is>
          <t>콘텐츠 검수</t>
        </is>
      </c>
      <c r="C75" s="21" t="inlineStr">
        <is>
          <t>텍스트 잘림</t>
        </is>
      </c>
      <c r="D75" s="19" t="inlineStr">
        <is>
          <t>긴 이름·설명이 들어가는 UI</t>
        </is>
      </c>
      <c r="E75" s="19" t="inlineStr">
        <is>
          <t>잘리거나 겹치는 곳 0건. 해상도 1600x900 과 1920x1080 둘 다</t>
        </is>
      </c>
      <c r="F75" s="16" t="inlineStr"/>
      <c r="G75" s="17" t="inlineStr"/>
    </row>
    <row r="76" ht="31.4" customHeight="1">
      <c r="A76" s="18" t="n">
        <v>72</v>
      </c>
      <c r="B76" s="18" t="inlineStr">
        <is>
          <t>콘텐츠 검수</t>
        </is>
      </c>
      <c r="C76" s="21" t="inlineStr">
        <is>
          <t>미번역·플레이스홀더</t>
        </is>
      </c>
      <c r="D76" s="19" t="inlineStr">
        <is>
          <t>언어 설정 변경 후 전체 UI</t>
        </is>
      </c>
      <c r="E76" s="19" t="inlineStr">
        <is>
          <t>키 이름(예: ITEM_NAME_01)·영문 잔재·'TODO' 가 보이지 않는다</t>
        </is>
      </c>
      <c r="F76" s="16" t="inlineStr"/>
      <c r="G76" s="17" t="inlineStr"/>
    </row>
    <row r="77" ht="18.2" customHeight="1">
      <c r="A77" s="18" t="n">
        <v>73</v>
      </c>
      <c r="B77" s="18" t="inlineStr">
        <is>
          <t>콘텐츠 검수</t>
        </is>
      </c>
      <c r="C77" s="21" t="inlineStr">
        <is>
          <t>아이콘 누락</t>
        </is>
      </c>
      <c r="D77" s="19" t="inlineStr">
        <is>
          <t>아이템·설비·퀘스트 아이콘</t>
        </is>
      </c>
      <c r="E77" s="19" t="inlineStr">
        <is>
          <t>핑크·흰 네모·물음표 아이콘이 없다</t>
        </is>
      </c>
      <c r="F77" s="16" t="inlineStr"/>
      <c r="G77" s="17" t="inlineStr"/>
    </row>
    <row r="78" ht="31.4" customHeight="1">
      <c r="A78" s="18" t="n">
        <v>74</v>
      </c>
      <c r="B78" s="18" t="inlineStr">
        <is>
          <t>콘텐츠 검수</t>
        </is>
      </c>
      <c r="C78" s="21" t="inlineStr">
        <is>
          <t>설명과 실제 효과</t>
        </is>
      </c>
      <c r="D78" s="19" t="inlineStr">
        <is>
          <t>아이템·설비 설명문과 실제 동작</t>
        </is>
      </c>
      <c r="E78" s="19" t="inlineStr">
        <is>
          <t>설명에 적힌 수치와 동작이 같다. 다르면 어느 쪽이 맞는지 기획 확인</t>
        </is>
      </c>
      <c r="F78" s="16" t="inlineStr"/>
      <c r="G78" s="17" t="inlineStr"/>
    </row>
    <row r="79" ht="31.4" customHeight="1">
      <c r="A79" s="18" t="n">
        <v>75</v>
      </c>
      <c r="B79" s="18" t="inlineStr">
        <is>
          <t>콘텐츠 검수</t>
        </is>
      </c>
      <c r="C79" s="21" t="inlineStr">
        <is>
          <t>이름 중복</t>
        </is>
      </c>
      <c r="D79" s="19" t="inlineStr">
        <is>
          <t>몬스터·아이템 이름</t>
        </is>
      </c>
      <c r="E79" s="19" t="inlineStr">
        <is>
          <t>와이번(보스)·와이번(필드) 처럼 다른 것이 같은 이름이면 기록</t>
        </is>
      </c>
      <c r="F79" s="16" t="inlineStr"/>
      <c r="G79" s="17" t="inlineStr"/>
    </row>
    <row r="80" ht="18.2" customHeight="1">
      <c r="A80" s="18" t="n">
        <v>76</v>
      </c>
      <c r="B80" s="18" t="inlineStr">
        <is>
          <t>콘텐츠 검수</t>
        </is>
      </c>
      <c r="C80" s="21" t="inlineStr">
        <is>
          <t>소수점 표기</t>
        </is>
      </c>
      <c r="D80" s="19" t="inlineStr">
        <is>
          <t>스탯·수치가 뜨는 모든 곳</t>
        </is>
      </c>
      <c r="E80" s="19" t="inlineStr">
        <is>
          <t>0.30000001 같은 부동소수 표기가 없다</t>
        </is>
      </c>
      <c r="F80" s="16" t="inlineStr"/>
      <c r="G80" s="17" t="inlineStr"/>
    </row>
    <row r="81" ht="31.4" customHeight="1">
      <c r="A81" s="18" t="n">
        <v>77</v>
      </c>
      <c r="B81" s="18" t="inlineStr">
        <is>
          <t>콘텐츠 검수</t>
        </is>
      </c>
      <c r="C81" s="21" t="inlineStr">
        <is>
          <t>명칭 일관성</t>
        </is>
      </c>
      <c r="D81" s="19" t="inlineStr">
        <is>
          <t>같은 것을 가리키는 단어</t>
        </is>
      </c>
      <c r="E81" s="19" t="inlineStr">
        <is>
          <t>시간에너지/시간 에너지/타임 에너지 처럼 섞여 쓰이지 않는다</t>
        </is>
      </c>
      <c r="F81" s="16" t="inlineStr"/>
      <c r="G81" s="17" t="inlineStr"/>
    </row>
    <row r="82" ht="18.2" customHeight="1">
      <c r="A82" s="18" t="n">
        <v>78</v>
      </c>
      <c r="B82" s="18" t="inlineStr">
        <is>
          <t>콘텐츠 검수</t>
        </is>
      </c>
      <c r="C82" s="21" t="inlineStr">
        <is>
          <t>퀘스트 텍스트</t>
        </is>
      </c>
      <c r="D82" s="19" t="inlineStr">
        <is>
          <t>퀘스트 제목·목표·완료 문구</t>
        </is>
      </c>
      <c r="E82" s="19" t="inlineStr">
        <is>
          <t>목표 문구만 읽고 무엇을 해야 하는지 안다</t>
        </is>
      </c>
      <c r="F82" s="16" t="inlineStr"/>
      <c r="G82" s="17" t="inlineStr"/>
    </row>
    <row r="83" ht="31.4" customHeight="1">
      <c r="A83" s="18" t="n">
        <v>79</v>
      </c>
      <c r="B83" s="18" t="inlineStr">
        <is>
          <t>콘텐츠 검수</t>
        </is>
      </c>
      <c r="C83" s="21" t="inlineStr">
        <is>
          <t>메뉴 명칭</t>
        </is>
      </c>
      <c r="D83" s="19" t="inlineStr">
        <is>
          <t>설정·일시정지·메인 메뉴 항목</t>
        </is>
      </c>
      <c r="E83" s="19" t="inlineStr">
        <is>
          <t>같은 기능이 화면마다 다른 이름으로 불리지 않는다</t>
        </is>
      </c>
      <c r="F83" s="16" t="inlineStr"/>
      <c r="G83" s="17" t="inlineStr"/>
    </row>
    <row r="84" ht="31.4" customHeight="1">
      <c r="A84" s="14" t="n">
        <v>80</v>
      </c>
      <c r="B84" s="14" t="inlineStr">
        <is>
          <t>반복 안정성</t>
        </is>
      </c>
      <c r="C84" s="20" t="inlineStr">
        <is>
          <t>1시간 연속 플레이</t>
        </is>
      </c>
      <c r="D84" s="3" t="inlineStr">
        <is>
          <t>쉬지 않고 1시간 플레이하며 프레임 기록</t>
        </is>
      </c>
      <c r="E84" s="3" t="inlineStr">
        <is>
          <t>시작과 끝 프레임 차이 10% 이내. 메모리 증가가 멈춘다</t>
        </is>
      </c>
      <c r="F84" s="16" t="inlineStr"/>
      <c r="G84" s="17" t="inlineStr"/>
    </row>
    <row r="85" ht="31.4" customHeight="1">
      <c r="A85" s="14" t="n">
        <v>81</v>
      </c>
      <c r="B85" s="14" t="inlineStr">
        <is>
          <t>반복 안정성</t>
        </is>
      </c>
      <c r="C85" s="20" t="inlineStr">
        <is>
          <t>세이브/로드 반복</t>
        </is>
      </c>
      <c r="D85" s="3" t="inlineStr">
        <is>
          <t>저장 → 로드를 20회</t>
        </is>
      </c>
      <c r="E85" s="3" t="inlineStr">
        <is>
          <t>매번 같은 상태로 돌아온다. 로드 시간이 늘지 않는다</t>
        </is>
      </c>
      <c r="F85" s="16" t="inlineStr"/>
      <c r="G85" s="17" t="inlineStr"/>
    </row>
    <row r="86" ht="31.4" customHeight="1">
      <c r="A86" s="14" t="n">
        <v>82</v>
      </c>
      <c r="B86" s="14" t="inlineStr">
        <is>
          <t>반복 안정성</t>
        </is>
      </c>
      <c r="C86" s="20" t="inlineStr">
        <is>
          <t>씬 전환 반복</t>
        </is>
      </c>
      <c r="D86" s="3" t="inlineStr">
        <is>
          <t>메인 메뉴 ↔ 게임 20회</t>
        </is>
      </c>
      <c r="E86" s="3" t="inlineStr">
        <is>
          <t>메모리가 계속 늘지 않는다. 20회째에도 로딩 시간이 같다</t>
        </is>
      </c>
      <c r="F86" s="16" t="inlineStr"/>
      <c r="G86" s="17" t="inlineStr"/>
    </row>
    <row r="87" ht="31.4" customHeight="1">
      <c r="A87" s="14" t="n">
        <v>83</v>
      </c>
      <c r="B87" s="14" t="inlineStr">
        <is>
          <t>반복 안정성</t>
        </is>
      </c>
      <c r="C87" s="20" t="inlineStr">
        <is>
          <t>설비 대량 배치</t>
        </is>
      </c>
      <c r="D87" s="3" t="inlineStr">
        <is>
          <t>설비 100대 배치 후 가동</t>
        </is>
      </c>
      <c r="E87" s="3" t="inlineStr">
        <is>
          <t>프레임이 30 아래로 떨어지지 않는다. 떨어지면 몇 대부터인지 기록</t>
        </is>
      </c>
      <c r="F87" s="16" t="inlineStr"/>
      <c r="G87" s="17" t="inlineStr"/>
    </row>
    <row r="88" ht="31.4" customHeight="1">
      <c r="A88" s="14" t="n">
        <v>84</v>
      </c>
      <c r="B88" s="14" t="inlineStr">
        <is>
          <t>반복 안정성</t>
        </is>
      </c>
      <c r="C88" s="20" t="inlineStr">
        <is>
          <t>인벤토리 가득</t>
        </is>
      </c>
      <c r="D88" s="3" t="inlineStr">
        <is>
          <t>모든 슬롯을 채운 상태로 30분 플레이</t>
        </is>
      </c>
      <c r="E88" s="3" t="inlineStr">
        <is>
          <t>획득 실패 안내가 매번 뜨고, 프레임 저하나 오류가 없다</t>
        </is>
      </c>
      <c r="F88" s="16" t="inlineStr"/>
      <c r="G88" s="17" t="inlineStr"/>
    </row>
    <row r="89" ht="31.4" customHeight="1">
      <c r="A89" s="14" t="n">
        <v>85</v>
      </c>
      <c r="B89" s="14" t="inlineStr">
        <is>
          <t>반복 안정성</t>
        </is>
      </c>
      <c r="C89" s="20" t="inlineStr">
        <is>
          <t>장시간 방치</t>
        </is>
      </c>
      <c r="D89" s="3" t="inlineStr">
        <is>
          <t>설비 가동 상태로 30분 방치</t>
        </is>
      </c>
      <c r="E89" s="3" t="inlineStr">
        <is>
          <t>돌아왔을 때 산출물이 쌓여 있고 화면이 멈추거나 튕기지 않았다</t>
        </is>
      </c>
      <c r="F89" s="16" t="inlineStr"/>
      <c r="G89" s="17" t="inlineStr"/>
    </row>
  </sheetData>
  <autoFilter ref="A4:G89"/>
  <dataValidations count="1">
    <dataValidation sqref="F5:F89" showDropDown="0" showInputMessage="0" showErrorMessage="0" allowBlank="1" type="list">
      <formula1>"좋음,보통,문제"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22" customHeight="1">
      <c r="A1" s="6" t="inlineStr">
        <is>
          <t>테스트케이스 현황</t>
        </is>
      </c>
    </row>
    <row r="2">
      <c r="A2" s="22" t="inlineStr">
        <is>
          <t>집계 대상 시트</t>
        </is>
      </c>
      <c r="B2" s="23" t="inlineStr">
        <is>
          <t>TestCase</t>
        </is>
      </c>
      <c r="C2" s="7" t="inlineStr">
        <is>
          <t>← 회차 시트 이름을 적으면 아래가 그 회차 기준으로 바뀐다</t>
        </is>
      </c>
    </row>
    <row r="4" ht="26" customHeight="1">
      <c r="A4" s="8" t="inlineStr">
        <is>
          <t>대분류</t>
        </is>
      </c>
      <c r="B4" s="8" t="inlineStr">
        <is>
          <t>도입 차수</t>
        </is>
      </c>
      <c r="C4" s="8" t="inlineStr">
        <is>
          <t>TC 수</t>
        </is>
      </c>
      <c r="D4" s="8" t="inlineStr">
        <is>
          <t>비율</t>
        </is>
      </c>
      <c r="E4" s="8" t="inlineStr">
        <is>
          <t>Pass</t>
        </is>
      </c>
      <c r="F4" s="8" t="inlineStr">
        <is>
          <t>Fail</t>
        </is>
      </c>
      <c r="G4" s="8" t="inlineStr">
        <is>
          <t>Block</t>
        </is>
      </c>
      <c r="H4" s="8" t="inlineStr">
        <is>
          <t>N/A</t>
        </is>
      </c>
      <c r="I4" s="8" t="inlineStr">
        <is>
          <t>N/T</t>
        </is>
      </c>
      <c r="J4" s="8" t="inlineStr">
        <is>
          <t>진행률</t>
        </is>
      </c>
    </row>
    <row r="5" ht="18" customHeight="1">
      <c r="A5" s="24" t="inlineStr">
        <is>
          <t>게임 실행</t>
        </is>
      </c>
      <c r="B5" s="14" t="inlineStr">
        <is>
          <t>1차</t>
        </is>
      </c>
      <c r="C5" s="14">
        <f>IFERROR(COUNTIF(INDIRECT("'"&amp;$B$2&amp;"'!$B$5:$B$300"),$A5),0)</f>
        <v/>
      </c>
      <c r="D5" s="25">
        <f>IFERROR(C5/$C$18,0)</f>
        <v/>
      </c>
      <c r="E5" s="14">
        <f>IFERROR(COUNTIFS(INDIRECT("'"&amp;$B$2&amp;"'!$B$5:$B$300"),$A5,INDIRECT("'"&amp;$B$2&amp;"'!$K$5:$K$300"),"Pass"),0)</f>
        <v/>
      </c>
      <c r="F5" s="14">
        <f>IFERROR(COUNTIFS(INDIRECT("'"&amp;$B$2&amp;"'!$B$5:$B$300"),$A5,INDIRECT("'"&amp;$B$2&amp;"'!$K$5:$K$300"),"Fail"),0)</f>
        <v/>
      </c>
      <c r="G5" s="14">
        <f>IFERROR(COUNTIFS(INDIRECT("'"&amp;$B$2&amp;"'!$B$5:$B$300"),$A5,INDIRECT("'"&amp;$B$2&amp;"'!$K$5:$K$300"),"Block"),0)</f>
        <v/>
      </c>
      <c r="H5" s="14">
        <f>IFERROR(COUNTIFS(INDIRECT("'"&amp;$B$2&amp;"'!$B$5:$B$300"),$A5,INDIRECT("'"&amp;$B$2&amp;"'!$K$5:$K$300"),"N/A"),0)</f>
        <v/>
      </c>
      <c r="I5" s="14">
        <f>IFERROR(COUNTIFS(INDIRECT("'"&amp;$B$2&amp;"'!$B$5:$B$300"),$A5,INDIRECT("'"&amp;$B$2&amp;"'!$K$5:$K$300"),"N/T"),0)</f>
        <v/>
      </c>
      <c r="J5" s="25">
        <f>IFERROR((E5+F5)/C5,0)</f>
        <v/>
      </c>
    </row>
    <row r="6" ht="18" customHeight="1">
      <c r="A6" s="26" t="inlineStr">
        <is>
          <t>메인메뉴/세이브</t>
        </is>
      </c>
      <c r="B6" s="18" t="inlineStr">
        <is>
          <t>1차·3차</t>
        </is>
      </c>
      <c r="C6" s="18">
        <f>IFERROR(COUNTIF(INDIRECT("'"&amp;$B$2&amp;"'!$B$5:$B$300"),$A6),0)</f>
        <v/>
      </c>
      <c r="D6" s="25">
        <f>IFERROR(C6/$C$18,0)</f>
        <v/>
      </c>
      <c r="E6" s="18">
        <f>IFERROR(COUNTIFS(INDIRECT("'"&amp;$B$2&amp;"'!$B$5:$B$300"),$A6,INDIRECT("'"&amp;$B$2&amp;"'!$K$5:$K$300"),"Pass"),0)</f>
        <v/>
      </c>
      <c r="F6" s="18">
        <f>IFERROR(COUNTIFS(INDIRECT("'"&amp;$B$2&amp;"'!$B$5:$B$300"),$A6,INDIRECT("'"&amp;$B$2&amp;"'!$K$5:$K$300"),"Fail"),0)</f>
        <v/>
      </c>
      <c r="G6" s="18">
        <f>IFERROR(COUNTIFS(INDIRECT("'"&amp;$B$2&amp;"'!$B$5:$B$300"),$A6,INDIRECT("'"&amp;$B$2&amp;"'!$K$5:$K$300"),"Block"),0)</f>
        <v/>
      </c>
      <c r="H6" s="18">
        <f>IFERROR(COUNTIFS(INDIRECT("'"&amp;$B$2&amp;"'!$B$5:$B$300"),$A6,INDIRECT("'"&amp;$B$2&amp;"'!$K$5:$K$300"),"N/A"),0)</f>
        <v/>
      </c>
      <c r="I6" s="18">
        <f>IFERROR(COUNTIFS(INDIRECT("'"&amp;$B$2&amp;"'!$B$5:$B$300"),$A6,INDIRECT("'"&amp;$B$2&amp;"'!$K$5:$K$300"),"N/T"),0)</f>
        <v/>
      </c>
      <c r="J6" s="25">
        <f>IFERROR((E6+F6)/C6,0)</f>
        <v/>
      </c>
    </row>
    <row r="7" ht="18" customHeight="1">
      <c r="A7" s="24" t="inlineStr">
        <is>
          <t>프롤로그/컷신</t>
        </is>
      </c>
      <c r="B7" s="14" t="inlineStr">
        <is>
          <t>3차</t>
        </is>
      </c>
      <c r="C7" s="14">
        <f>IFERROR(COUNTIF(INDIRECT("'"&amp;$B$2&amp;"'!$B$5:$B$300"),$A7),0)</f>
        <v/>
      </c>
      <c r="D7" s="25">
        <f>IFERROR(C7/$C$18,0)</f>
        <v/>
      </c>
      <c r="E7" s="14">
        <f>IFERROR(COUNTIFS(INDIRECT("'"&amp;$B$2&amp;"'!$B$5:$B$300"),$A7,INDIRECT("'"&amp;$B$2&amp;"'!$K$5:$K$300"),"Pass"),0)</f>
        <v/>
      </c>
      <c r="F7" s="14">
        <f>IFERROR(COUNTIFS(INDIRECT("'"&amp;$B$2&amp;"'!$B$5:$B$300"),$A7,INDIRECT("'"&amp;$B$2&amp;"'!$K$5:$K$300"),"Fail"),0)</f>
        <v/>
      </c>
      <c r="G7" s="14">
        <f>IFERROR(COUNTIFS(INDIRECT("'"&amp;$B$2&amp;"'!$B$5:$B$300"),$A7,INDIRECT("'"&amp;$B$2&amp;"'!$K$5:$K$300"),"Block"),0)</f>
        <v/>
      </c>
      <c r="H7" s="14">
        <f>IFERROR(COUNTIFS(INDIRECT("'"&amp;$B$2&amp;"'!$B$5:$B$300"),$A7,INDIRECT("'"&amp;$B$2&amp;"'!$K$5:$K$300"),"N/A"),0)</f>
        <v/>
      </c>
      <c r="I7" s="14">
        <f>IFERROR(COUNTIFS(INDIRECT("'"&amp;$B$2&amp;"'!$B$5:$B$300"),$A7,INDIRECT("'"&amp;$B$2&amp;"'!$K$5:$K$300"),"N/T"),0)</f>
        <v/>
      </c>
      <c r="J7" s="25">
        <f>IFERROR((E7+F7)/C7,0)</f>
        <v/>
      </c>
    </row>
    <row r="8" ht="18" customHeight="1">
      <c r="A8" s="26" t="inlineStr">
        <is>
          <t>플레이어</t>
        </is>
      </c>
      <c r="B8" s="18" t="inlineStr">
        <is>
          <t>1차</t>
        </is>
      </c>
      <c r="C8" s="18">
        <f>IFERROR(COUNTIF(INDIRECT("'"&amp;$B$2&amp;"'!$B$5:$B$300"),$A8),0)</f>
        <v/>
      </c>
      <c r="D8" s="25">
        <f>IFERROR(C8/$C$18,0)</f>
        <v/>
      </c>
      <c r="E8" s="18">
        <f>IFERROR(COUNTIFS(INDIRECT("'"&amp;$B$2&amp;"'!$B$5:$B$300"),$A8,INDIRECT("'"&amp;$B$2&amp;"'!$K$5:$K$300"),"Pass"),0)</f>
        <v/>
      </c>
      <c r="F8" s="18">
        <f>IFERROR(COUNTIFS(INDIRECT("'"&amp;$B$2&amp;"'!$B$5:$B$300"),$A8,INDIRECT("'"&amp;$B$2&amp;"'!$K$5:$K$300"),"Fail"),0)</f>
        <v/>
      </c>
      <c r="G8" s="18">
        <f>IFERROR(COUNTIFS(INDIRECT("'"&amp;$B$2&amp;"'!$B$5:$B$300"),$A8,INDIRECT("'"&amp;$B$2&amp;"'!$K$5:$K$300"),"Block"),0)</f>
        <v/>
      </c>
      <c r="H8" s="18">
        <f>IFERROR(COUNTIFS(INDIRECT("'"&amp;$B$2&amp;"'!$B$5:$B$300"),$A8,INDIRECT("'"&amp;$B$2&amp;"'!$K$5:$K$300"),"N/A"),0)</f>
        <v/>
      </c>
      <c r="I8" s="18">
        <f>IFERROR(COUNTIFS(INDIRECT("'"&amp;$B$2&amp;"'!$B$5:$B$300"),$A8,INDIRECT("'"&amp;$B$2&amp;"'!$K$5:$K$300"),"N/T"),0)</f>
        <v/>
      </c>
      <c r="J8" s="25">
        <f>IFERROR((E8+F8)/C8,0)</f>
        <v/>
      </c>
    </row>
    <row r="9" ht="18" customHeight="1">
      <c r="A9" s="24" t="inlineStr">
        <is>
          <t>인벤토리/아이템</t>
        </is>
      </c>
      <c r="B9" s="14" t="inlineStr">
        <is>
          <t>1차</t>
        </is>
      </c>
      <c r="C9" s="14">
        <f>IFERROR(COUNTIF(INDIRECT("'"&amp;$B$2&amp;"'!$B$5:$B$300"),$A9),0)</f>
        <v/>
      </c>
      <c r="D9" s="25">
        <f>IFERROR(C9/$C$18,0)</f>
        <v/>
      </c>
      <c r="E9" s="14">
        <f>IFERROR(COUNTIFS(INDIRECT("'"&amp;$B$2&amp;"'!$B$5:$B$300"),$A9,INDIRECT("'"&amp;$B$2&amp;"'!$K$5:$K$300"),"Pass"),0)</f>
        <v/>
      </c>
      <c r="F9" s="14">
        <f>IFERROR(COUNTIFS(INDIRECT("'"&amp;$B$2&amp;"'!$B$5:$B$300"),$A9,INDIRECT("'"&amp;$B$2&amp;"'!$K$5:$K$300"),"Fail"),0)</f>
        <v/>
      </c>
      <c r="G9" s="14">
        <f>IFERROR(COUNTIFS(INDIRECT("'"&amp;$B$2&amp;"'!$B$5:$B$300"),$A9,INDIRECT("'"&amp;$B$2&amp;"'!$K$5:$K$300"),"Block"),0)</f>
        <v/>
      </c>
      <c r="H9" s="14">
        <f>IFERROR(COUNTIFS(INDIRECT("'"&amp;$B$2&amp;"'!$B$5:$B$300"),$A9,INDIRECT("'"&amp;$B$2&amp;"'!$K$5:$K$300"),"N/A"),0)</f>
        <v/>
      </c>
      <c r="I9" s="14">
        <f>IFERROR(COUNTIFS(INDIRECT("'"&amp;$B$2&amp;"'!$B$5:$B$300"),$A9,INDIRECT("'"&amp;$B$2&amp;"'!$K$5:$K$300"),"N/T"),0)</f>
        <v/>
      </c>
      <c r="J9" s="25">
        <f>IFERROR((E9+F9)/C9,0)</f>
        <v/>
      </c>
    </row>
    <row r="10" ht="18" customHeight="1">
      <c r="A10" s="26" t="inlineStr">
        <is>
          <t>공장/건설</t>
        </is>
      </c>
      <c r="B10" s="18" t="inlineStr">
        <is>
          <t>2차</t>
        </is>
      </c>
      <c r="C10" s="18">
        <f>IFERROR(COUNTIF(INDIRECT("'"&amp;$B$2&amp;"'!$B$5:$B$300"),$A10),0)</f>
        <v/>
      </c>
      <c r="D10" s="25">
        <f>IFERROR(C10/$C$18,0)</f>
        <v/>
      </c>
      <c r="E10" s="18">
        <f>IFERROR(COUNTIFS(INDIRECT("'"&amp;$B$2&amp;"'!$B$5:$B$300"),$A10,INDIRECT("'"&amp;$B$2&amp;"'!$K$5:$K$300"),"Pass"),0)</f>
        <v/>
      </c>
      <c r="F10" s="18">
        <f>IFERROR(COUNTIFS(INDIRECT("'"&amp;$B$2&amp;"'!$B$5:$B$300"),$A10,INDIRECT("'"&amp;$B$2&amp;"'!$K$5:$K$300"),"Fail"),0)</f>
        <v/>
      </c>
      <c r="G10" s="18">
        <f>IFERROR(COUNTIFS(INDIRECT("'"&amp;$B$2&amp;"'!$B$5:$B$300"),$A10,INDIRECT("'"&amp;$B$2&amp;"'!$K$5:$K$300"),"Block"),0)</f>
        <v/>
      </c>
      <c r="H10" s="18">
        <f>IFERROR(COUNTIFS(INDIRECT("'"&amp;$B$2&amp;"'!$B$5:$B$300"),$A10,INDIRECT("'"&amp;$B$2&amp;"'!$K$5:$K$300"),"N/A"),0)</f>
        <v/>
      </c>
      <c r="I10" s="18">
        <f>IFERROR(COUNTIFS(INDIRECT("'"&amp;$B$2&amp;"'!$B$5:$B$300"),$A10,INDIRECT("'"&amp;$B$2&amp;"'!$K$5:$K$300"),"N/T"),0)</f>
        <v/>
      </c>
      <c r="J10" s="25">
        <f>IFERROR((E10+F10)/C10,0)</f>
        <v/>
      </c>
    </row>
    <row r="11" ht="18" customHeight="1">
      <c r="A11" s="24" t="inlineStr">
        <is>
          <t>기믹/퍼즐</t>
        </is>
      </c>
      <c r="B11" s="14" t="inlineStr">
        <is>
          <t>4차</t>
        </is>
      </c>
      <c r="C11" s="14">
        <f>IFERROR(COUNTIF(INDIRECT("'"&amp;$B$2&amp;"'!$B$5:$B$300"),$A11),0)</f>
        <v/>
      </c>
      <c r="D11" s="25">
        <f>IFERROR(C11/$C$18,0)</f>
        <v/>
      </c>
      <c r="E11" s="14">
        <f>IFERROR(COUNTIFS(INDIRECT("'"&amp;$B$2&amp;"'!$B$5:$B$300"),$A11,INDIRECT("'"&amp;$B$2&amp;"'!$K$5:$K$300"),"Pass"),0)</f>
        <v/>
      </c>
      <c r="F11" s="14">
        <f>IFERROR(COUNTIFS(INDIRECT("'"&amp;$B$2&amp;"'!$B$5:$B$300"),$A11,INDIRECT("'"&amp;$B$2&amp;"'!$K$5:$K$300"),"Fail"),0)</f>
        <v/>
      </c>
      <c r="G11" s="14">
        <f>IFERROR(COUNTIFS(INDIRECT("'"&amp;$B$2&amp;"'!$B$5:$B$300"),$A11,INDIRECT("'"&amp;$B$2&amp;"'!$K$5:$K$300"),"Block"),0)</f>
        <v/>
      </c>
      <c r="H11" s="14">
        <f>IFERROR(COUNTIFS(INDIRECT("'"&amp;$B$2&amp;"'!$B$5:$B$300"),$A11,INDIRECT("'"&amp;$B$2&amp;"'!$K$5:$K$300"),"N/A"),0)</f>
        <v/>
      </c>
      <c r="I11" s="14">
        <f>IFERROR(COUNTIFS(INDIRECT("'"&amp;$B$2&amp;"'!$B$5:$B$300"),$A11,INDIRECT("'"&amp;$B$2&amp;"'!$K$5:$K$300"),"N/T"),0)</f>
        <v/>
      </c>
      <c r="J11" s="25">
        <f>IFERROR((E11+F11)/C11,0)</f>
        <v/>
      </c>
    </row>
    <row r="12" ht="18" customHeight="1">
      <c r="A12" s="26" t="inlineStr">
        <is>
          <t>전투/적</t>
        </is>
      </c>
      <c r="B12" s="18" t="inlineStr">
        <is>
          <t>1차</t>
        </is>
      </c>
      <c r="C12" s="18">
        <f>IFERROR(COUNTIF(INDIRECT("'"&amp;$B$2&amp;"'!$B$5:$B$300"),$A12),0)</f>
        <v/>
      </c>
      <c r="D12" s="25">
        <f>IFERROR(C12/$C$18,0)</f>
        <v/>
      </c>
      <c r="E12" s="18">
        <f>IFERROR(COUNTIFS(INDIRECT("'"&amp;$B$2&amp;"'!$B$5:$B$300"),$A12,INDIRECT("'"&amp;$B$2&amp;"'!$K$5:$K$300"),"Pass"),0)</f>
        <v/>
      </c>
      <c r="F12" s="18">
        <f>IFERROR(COUNTIFS(INDIRECT("'"&amp;$B$2&amp;"'!$B$5:$B$300"),$A12,INDIRECT("'"&amp;$B$2&amp;"'!$K$5:$K$300"),"Fail"),0)</f>
        <v/>
      </c>
      <c r="G12" s="18">
        <f>IFERROR(COUNTIFS(INDIRECT("'"&amp;$B$2&amp;"'!$B$5:$B$300"),$A12,INDIRECT("'"&amp;$B$2&amp;"'!$K$5:$K$300"),"Block"),0)</f>
        <v/>
      </c>
      <c r="H12" s="18">
        <f>IFERROR(COUNTIFS(INDIRECT("'"&amp;$B$2&amp;"'!$B$5:$B$300"),$A12,INDIRECT("'"&amp;$B$2&amp;"'!$K$5:$K$300"),"N/A"),0)</f>
        <v/>
      </c>
      <c r="I12" s="18">
        <f>IFERROR(COUNTIFS(INDIRECT("'"&amp;$B$2&amp;"'!$B$5:$B$300"),$A12,INDIRECT("'"&amp;$B$2&amp;"'!$K$5:$K$300"),"N/T"),0)</f>
        <v/>
      </c>
      <c r="J12" s="25">
        <f>IFERROR((E12+F12)/C12,0)</f>
        <v/>
      </c>
    </row>
    <row r="13" ht="18" customHeight="1">
      <c r="A13" s="24" t="inlineStr">
        <is>
          <t>퀘스트/튜토리얼</t>
        </is>
      </c>
      <c r="B13" s="14" t="inlineStr">
        <is>
          <t>1차</t>
        </is>
      </c>
      <c r="C13" s="14">
        <f>IFERROR(COUNTIF(INDIRECT("'"&amp;$B$2&amp;"'!$B$5:$B$300"),$A13),0)</f>
        <v/>
      </c>
      <c r="D13" s="25">
        <f>IFERROR(C13/$C$18,0)</f>
        <v/>
      </c>
      <c r="E13" s="14">
        <f>IFERROR(COUNTIFS(INDIRECT("'"&amp;$B$2&amp;"'!$B$5:$B$300"),$A13,INDIRECT("'"&amp;$B$2&amp;"'!$K$5:$K$300"),"Pass"),0)</f>
        <v/>
      </c>
      <c r="F13" s="14">
        <f>IFERROR(COUNTIFS(INDIRECT("'"&amp;$B$2&amp;"'!$B$5:$B$300"),$A13,INDIRECT("'"&amp;$B$2&amp;"'!$K$5:$K$300"),"Fail"),0)</f>
        <v/>
      </c>
      <c r="G13" s="14">
        <f>IFERROR(COUNTIFS(INDIRECT("'"&amp;$B$2&amp;"'!$B$5:$B$300"),$A13,INDIRECT("'"&amp;$B$2&amp;"'!$K$5:$K$300"),"Block"),0)</f>
        <v/>
      </c>
      <c r="H13" s="14">
        <f>IFERROR(COUNTIFS(INDIRECT("'"&amp;$B$2&amp;"'!$B$5:$B$300"),$A13,INDIRECT("'"&amp;$B$2&amp;"'!$K$5:$K$300"),"N/A"),0)</f>
        <v/>
      </c>
      <c r="I13" s="14">
        <f>IFERROR(COUNTIFS(INDIRECT("'"&amp;$B$2&amp;"'!$B$5:$B$300"),$A13,INDIRECT("'"&amp;$B$2&amp;"'!$K$5:$K$300"),"N/T"),0)</f>
        <v/>
      </c>
      <c r="J13" s="25">
        <f>IFERROR((E13+F13)/C13,0)</f>
        <v/>
      </c>
    </row>
    <row r="14" ht="18" customHeight="1">
      <c r="A14" s="26" t="inlineStr">
        <is>
          <t>이동/지역</t>
        </is>
      </c>
      <c r="B14" s="18" t="inlineStr">
        <is>
          <t>3차</t>
        </is>
      </c>
      <c r="C14" s="18">
        <f>IFERROR(COUNTIF(INDIRECT("'"&amp;$B$2&amp;"'!$B$5:$B$300"),$A14),0)</f>
        <v/>
      </c>
      <c r="D14" s="25">
        <f>IFERROR(C14/$C$18,0)</f>
        <v/>
      </c>
      <c r="E14" s="18">
        <f>IFERROR(COUNTIFS(INDIRECT("'"&amp;$B$2&amp;"'!$B$5:$B$300"),$A14,INDIRECT("'"&amp;$B$2&amp;"'!$K$5:$K$300"),"Pass"),0)</f>
        <v/>
      </c>
      <c r="F14" s="18">
        <f>IFERROR(COUNTIFS(INDIRECT("'"&amp;$B$2&amp;"'!$B$5:$B$300"),$A14,INDIRECT("'"&amp;$B$2&amp;"'!$K$5:$K$300"),"Fail"),0)</f>
        <v/>
      </c>
      <c r="G14" s="18">
        <f>IFERROR(COUNTIFS(INDIRECT("'"&amp;$B$2&amp;"'!$B$5:$B$300"),$A14,INDIRECT("'"&amp;$B$2&amp;"'!$K$5:$K$300"),"Block"),0)</f>
        <v/>
      </c>
      <c r="H14" s="18">
        <f>IFERROR(COUNTIFS(INDIRECT("'"&amp;$B$2&amp;"'!$B$5:$B$300"),$A14,INDIRECT("'"&amp;$B$2&amp;"'!$K$5:$K$300"),"N/A"),0)</f>
        <v/>
      </c>
      <c r="I14" s="18">
        <f>IFERROR(COUNTIFS(INDIRECT("'"&amp;$B$2&amp;"'!$B$5:$B$300"),$A14,INDIRECT("'"&amp;$B$2&amp;"'!$K$5:$K$300"),"N/T"),0)</f>
        <v/>
      </c>
      <c r="J14" s="25">
        <f>IFERROR((E14+F14)/C14,0)</f>
        <v/>
      </c>
    </row>
    <row r="15" ht="18" customHeight="1">
      <c r="A15" s="24" t="inlineStr">
        <is>
          <t>우주선/엔딩</t>
        </is>
      </c>
      <c r="B15" s="14" t="inlineStr">
        <is>
          <t>3차</t>
        </is>
      </c>
      <c r="C15" s="14">
        <f>IFERROR(COUNTIF(INDIRECT("'"&amp;$B$2&amp;"'!$B$5:$B$300"),$A15),0)</f>
        <v/>
      </c>
      <c r="D15" s="25">
        <f>IFERROR(C15/$C$18,0)</f>
        <v/>
      </c>
      <c r="E15" s="14">
        <f>IFERROR(COUNTIFS(INDIRECT("'"&amp;$B$2&amp;"'!$B$5:$B$300"),$A15,INDIRECT("'"&amp;$B$2&amp;"'!$K$5:$K$300"),"Pass"),0)</f>
        <v/>
      </c>
      <c r="F15" s="14">
        <f>IFERROR(COUNTIFS(INDIRECT("'"&amp;$B$2&amp;"'!$B$5:$B$300"),$A15,INDIRECT("'"&amp;$B$2&amp;"'!$K$5:$K$300"),"Fail"),0)</f>
        <v/>
      </c>
      <c r="G15" s="14">
        <f>IFERROR(COUNTIFS(INDIRECT("'"&amp;$B$2&amp;"'!$B$5:$B$300"),$A15,INDIRECT("'"&amp;$B$2&amp;"'!$K$5:$K$300"),"Block"),0)</f>
        <v/>
      </c>
      <c r="H15" s="14">
        <f>IFERROR(COUNTIFS(INDIRECT("'"&amp;$B$2&amp;"'!$B$5:$B$300"),$A15,INDIRECT("'"&amp;$B$2&amp;"'!$K$5:$K$300"),"N/A"),0)</f>
        <v/>
      </c>
      <c r="I15" s="14">
        <f>IFERROR(COUNTIFS(INDIRECT("'"&amp;$B$2&amp;"'!$B$5:$B$300"),$A15,INDIRECT("'"&amp;$B$2&amp;"'!$K$5:$K$300"),"N/T"),0)</f>
        <v/>
      </c>
      <c r="J15" s="25">
        <f>IFERROR((E15+F15)/C15,0)</f>
        <v/>
      </c>
    </row>
    <row r="16" ht="18" customHeight="1">
      <c r="A16" s="26" t="inlineStr">
        <is>
          <t>UI 공통</t>
        </is>
      </c>
      <c r="B16" s="18" t="inlineStr">
        <is>
          <t>1차·4차</t>
        </is>
      </c>
      <c r="C16" s="18">
        <f>IFERROR(COUNTIF(INDIRECT("'"&amp;$B$2&amp;"'!$B$5:$B$300"),$A16),0)</f>
        <v/>
      </c>
      <c r="D16" s="25">
        <f>IFERROR(C16/$C$18,0)</f>
        <v/>
      </c>
      <c r="E16" s="18">
        <f>IFERROR(COUNTIFS(INDIRECT("'"&amp;$B$2&amp;"'!$B$5:$B$300"),$A16,INDIRECT("'"&amp;$B$2&amp;"'!$K$5:$K$300"),"Pass"),0)</f>
        <v/>
      </c>
      <c r="F16" s="18">
        <f>IFERROR(COUNTIFS(INDIRECT("'"&amp;$B$2&amp;"'!$B$5:$B$300"),$A16,INDIRECT("'"&amp;$B$2&amp;"'!$K$5:$K$300"),"Fail"),0)</f>
        <v/>
      </c>
      <c r="G16" s="18">
        <f>IFERROR(COUNTIFS(INDIRECT("'"&amp;$B$2&amp;"'!$B$5:$B$300"),$A16,INDIRECT("'"&amp;$B$2&amp;"'!$K$5:$K$300"),"Block"),0)</f>
        <v/>
      </c>
      <c r="H16" s="18">
        <f>IFERROR(COUNTIFS(INDIRECT("'"&amp;$B$2&amp;"'!$B$5:$B$300"),$A16,INDIRECT("'"&amp;$B$2&amp;"'!$K$5:$K$300"),"N/A"),0)</f>
        <v/>
      </c>
      <c r="I16" s="18">
        <f>IFERROR(COUNTIFS(INDIRECT("'"&amp;$B$2&amp;"'!$B$5:$B$300"),$A16,INDIRECT("'"&amp;$B$2&amp;"'!$K$5:$K$300"),"N/T"),0)</f>
        <v/>
      </c>
      <c r="J16" s="25">
        <f>IFERROR((E16+F16)/C16,0)</f>
        <v/>
      </c>
    </row>
    <row r="17" ht="18" customHeight="1">
      <c r="A17" s="24" t="inlineStr">
        <is>
          <t>사운드</t>
        </is>
      </c>
      <c r="B17" s="14" t="inlineStr">
        <is>
          <t>1차</t>
        </is>
      </c>
      <c r="C17" s="14">
        <f>IFERROR(COUNTIF(INDIRECT("'"&amp;$B$2&amp;"'!$B$5:$B$300"),$A17),0)</f>
        <v/>
      </c>
      <c r="D17" s="25">
        <f>IFERROR(C17/$C$18,0)</f>
        <v/>
      </c>
      <c r="E17" s="14">
        <f>IFERROR(COUNTIFS(INDIRECT("'"&amp;$B$2&amp;"'!$B$5:$B$300"),$A17,INDIRECT("'"&amp;$B$2&amp;"'!$K$5:$K$300"),"Pass"),0)</f>
        <v/>
      </c>
      <c r="F17" s="14">
        <f>IFERROR(COUNTIFS(INDIRECT("'"&amp;$B$2&amp;"'!$B$5:$B$300"),$A17,INDIRECT("'"&amp;$B$2&amp;"'!$K$5:$K$300"),"Fail"),0)</f>
        <v/>
      </c>
      <c r="G17" s="14">
        <f>IFERROR(COUNTIFS(INDIRECT("'"&amp;$B$2&amp;"'!$B$5:$B$300"),$A17,INDIRECT("'"&amp;$B$2&amp;"'!$K$5:$K$300"),"Block"),0)</f>
        <v/>
      </c>
      <c r="H17" s="14">
        <f>IFERROR(COUNTIFS(INDIRECT("'"&amp;$B$2&amp;"'!$B$5:$B$300"),$A17,INDIRECT("'"&amp;$B$2&amp;"'!$K$5:$K$300"),"N/A"),0)</f>
        <v/>
      </c>
      <c r="I17" s="14">
        <f>IFERROR(COUNTIFS(INDIRECT("'"&amp;$B$2&amp;"'!$B$5:$B$300"),$A17,INDIRECT("'"&amp;$B$2&amp;"'!$K$5:$K$300"),"N/T"),0)</f>
        <v/>
      </c>
      <c r="J17" s="25">
        <f>IFERROR((E17+F17)/C17,0)</f>
        <v/>
      </c>
    </row>
    <row r="18" ht="20" customHeight="1">
      <c r="A18" s="27" t="inlineStr">
        <is>
          <t>Total</t>
        </is>
      </c>
      <c r="B18" s="28" t="n"/>
      <c r="C18" s="28">
        <f>SUM(C5:C17)</f>
        <v/>
      </c>
      <c r="D18" s="29">
        <f>IFERROR(C18/C18,0)</f>
        <v/>
      </c>
      <c r="E18" s="28">
        <f>SUM(E5:E17)</f>
        <v/>
      </c>
      <c r="F18" s="28">
        <f>SUM(F5:F17)</f>
        <v/>
      </c>
      <c r="G18" s="28">
        <f>SUM(G5:G17)</f>
        <v/>
      </c>
      <c r="H18" s="28">
        <f>SUM(H5:H17)</f>
        <v/>
      </c>
      <c r="I18" s="28">
        <f>SUM(I5:I17)</f>
        <v/>
      </c>
      <c r="J18" s="29">
        <f>IFERROR((E18+F18)/C18,0)</f>
        <v/>
      </c>
    </row>
    <row r="20" ht="22" customHeight="1">
      <c r="A20" s="4" t="inlineStr">
        <is>
          <t>검증 유형별</t>
        </is>
      </c>
    </row>
    <row r="21" ht="26" customHeight="1">
      <c r="A21" s="8" t="inlineStr">
        <is>
          <t>유형</t>
        </is>
      </c>
      <c r="B21" s="8" t="inlineStr">
        <is>
          <t>TC 수</t>
        </is>
      </c>
      <c r="C21" s="8" t="inlineStr">
        <is>
          <t>비율</t>
        </is>
      </c>
      <c r="D21" s="8" t="inlineStr">
        <is>
          <t>Pass</t>
        </is>
      </c>
      <c r="E21" s="8" t="inlineStr">
        <is>
          <t>Fail</t>
        </is>
      </c>
      <c r="F21" s="8" t="inlineStr">
        <is>
          <t>Block</t>
        </is>
      </c>
      <c r="G21" s="8" t="inlineStr">
        <is>
          <t>N/A</t>
        </is>
      </c>
      <c r="H21" s="8" t="inlineStr">
        <is>
          <t>N/T</t>
        </is>
      </c>
      <c r="I21" s="8" t="inlineStr">
        <is>
          <t>진행률</t>
        </is>
      </c>
    </row>
    <row r="22" ht="18" customHeight="1">
      <c r="A22" s="24" t="inlineStr">
        <is>
          <t>기능</t>
        </is>
      </c>
      <c r="B22" s="14">
        <f>IFERROR(COUNTIF(INDIRECT("'"&amp;$B$2&amp;"'!$E$5:$E$300"),$A22),0)</f>
        <v/>
      </c>
      <c r="C22" s="25">
        <f>IFERROR(B22/$B$28,0)</f>
        <v/>
      </c>
      <c r="D22" s="14">
        <f>IFERROR(COUNTIFS(INDIRECT("'"&amp;$B$2&amp;"'!$E$5:$E$300"),$A22,INDIRECT("'"&amp;$B$2&amp;"'!$K$5:$K$300"),"Pass"),0)</f>
        <v/>
      </c>
      <c r="E22" s="14">
        <f>IFERROR(COUNTIFS(INDIRECT("'"&amp;$B$2&amp;"'!$E$5:$E$300"),$A22,INDIRECT("'"&amp;$B$2&amp;"'!$K$5:$K$300"),"Fail"),0)</f>
        <v/>
      </c>
      <c r="F22" s="14">
        <f>IFERROR(COUNTIFS(INDIRECT("'"&amp;$B$2&amp;"'!$E$5:$E$300"),$A22,INDIRECT("'"&amp;$B$2&amp;"'!$K$5:$K$300"),"Block"),0)</f>
        <v/>
      </c>
      <c r="G22" s="14">
        <f>IFERROR(COUNTIFS(INDIRECT("'"&amp;$B$2&amp;"'!$E$5:$E$300"),$A22,INDIRECT("'"&amp;$B$2&amp;"'!$K$5:$K$300"),"N/A"),0)</f>
        <v/>
      </c>
      <c r="H22" s="14">
        <f>IFERROR(COUNTIFS(INDIRECT("'"&amp;$B$2&amp;"'!$E$5:$E$300"),$A22,INDIRECT("'"&amp;$B$2&amp;"'!$K$5:$K$300"),"N/T"),0)</f>
        <v/>
      </c>
      <c r="I22" s="25">
        <f>IFERROR((D22+E22)/B22,0)</f>
        <v/>
      </c>
    </row>
    <row r="23" ht="18" customHeight="1">
      <c r="A23" s="26" t="inlineStr">
        <is>
          <t>경계</t>
        </is>
      </c>
      <c r="B23" s="18">
        <f>IFERROR(COUNTIF(INDIRECT("'"&amp;$B$2&amp;"'!$E$5:$E$300"),$A23),0)</f>
        <v/>
      </c>
      <c r="C23" s="25">
        <f>IFERROR(B23/$B$28,0)</f>
        <v/>
      </c>
      <c r="D23" s="18">
        <f>IFERROR(COUNTIFS(INDIRECT("'"&amp;$B$2&amp;"'!$E$5:$E$300"),$A23,INDIRECT("'"&amp;$B$2&amp;"'!$K$5:$K$300"),"Pass"),0)</f>
        <v/>
      </c>
      <c r="E23" s="18">
        <f>IFERROR(COUNTIFS(INDIRECT("'"&amp;$B$2&amp;"'!$E$5:$E$300"),$A23,INDIRECT("'"&amp;$B$2&amp;"'!$K$5:$K$300"),"Fail"),0)</f>
        <v/>
      </c>
      <c r="F23" s="18">
        <f>IFERROR(COUNTIFS(INDIRECT("'"&amp;$B$2&amp;"'!$E$5:$E$300"),$A23,INDIRECT("'"&amp;$B$2&amp;"'!$K$5:$K$300"),"Block"),0)</f>
        <v/>
      </c>
      <c r="G23" s="18">
        <f>IFERROR(COUNTIFS(INDIRECT("'"&amp;$B$2&amp;"'!$E$5:$E$300"),$A23,INDIRECT("'"&amp;$B$2&amp;"'!$K$5:$K$300"),"N/A"),0)</f>
        <v/>
      </c>
      <c r="H23" s="18">
        <f>IFERROR(COUNTIFS(INDIRECT("'"&amp;$B$2&amp;"'!$E$5:$E$300"),$A23,INDIRECT("'"&amp;$B$2&amp;"'!$K$5:$K$300"),"N/T"),0)</f>
        <v/>
      </c>
      <c r="I23" s="25">
        <f>IFERROR((D23+E23)/B23,0)</f>
        <v/>
      </c>
    </row>
    <row r="24" ht="18" customHeight="1">
      <c r="A24" s="24" t="inlineStr">
        <is>
          <t>상태</t>
        </is>
      </c>
      <c r="B24" s="14">
        <f>IFERROR(COUNTIF(INDIRECT("'"&amp;$B$2&amp;"'!$E$5:$E$300"),$A24),0)</f>
        <v/>
      </c>
      <c r="C24" s="25">
        <f>IFERROR(B24/$B$28,0)</f>
        <v/>
      </c>
      <c r="D24" s="14">
        <f>IFERROR(COUNTIFS(INDIRECT("'"&amp;$B$2&amp;"'!$E$5:$E$300"),$A24,INDIRECT("'"&amp;$B$2&amp;"'!$K$5:$K$300"),"Pass"),0)</f>
        <v/>
      </c>
      <c r="E24" s="14">
        <f>IFERROR(COUNTIFS(INDIRECT("'"&amp;$B$2&amp;"'!$E$5:$E$300"),$A24,INDIRECT("'"&amp;$B$2&amp;"'!$K$5:$K$300"),"Fail"),0)</f>
        <v/>
      </c>
      <c r="F24" s="14">
        <f>IFERROR(COUNTIFS(INDIRECT("'"&amp;$B$2&amp;"'!$E$5:$E$300"),$A24,INDIRECT("'"&amp;$B$2&amp;"'!$K$5:$K$300"),"Block"),0)</f>
        <v/>
      </c>
      <c r="G24" s="14">
        <f>IFERROR(COUNTIFS(INDIRECT("'"&amp;$B$2&amp;"'!$E$5:$E$300"),$A24,INDIRECT("'"&amp;$B$2&amp;"'!$K$5:$K$300"),"N/A"),0)</f>
        <v/>
      </c>
      <c r="H24" s="14">
        <f>IFERROR(COUNTIFS(INDIRECT("'"&amp;$B$2&amp;"'!$E$5:$E$300"),$A24,INDIRECT("'"&amp;$B$2&amp;"'!$K$5:$K$300"),"N/T"),0)</f>
        <v/>
      </c>
      <c r="I24" s="25">
        <f>IFERROR((D24+E24)/B24,0)</f>
        <v/>
      </c>
    </row>
    <row r="25" ht="18" customHeight="1">
      <c r="A25" s="26" t="inlineStr">
        <is>
          <t>데이터</t>
        </is>
      </c>
      <c r="B25" s="18">
        <f>IFERROR(COUNTIF(INDIRECT("'"&amp;$B$2&amp;"'!$E$5:$E$300"),$A25),0)</f>
        <v/>
      </c>
      <c r="C25" s="25">
        <f>IFERROR(B25/$B$28,0)</f>
        <v/>
      </c>
      <c r="D25" s="18">
        <f>IFERROR(COUNTIFS(INDIRECT("'"&amp;$B$2&amp;"'!$E$5:$E$300"),$A25,INDIRECT("'"&amp;$B$2&amp;"'!$K$5:$K$300"),"Pass"),0)</f>
        <v/>
      </c>
      <c r="E25" s="18">
        <f>IFERROR(COUNTIFS(INDIRECT("'"&amp;$B$2&amp;"'!$E$5:$E$300"),$A25,INDIRECT("'"&amp;$B$2&amp;"'!$K$5:$K$300"),"Fail"),0)</f>
        <v/>
      </c>
      <c r="F25" s="18">
        <f>IFERROR(COUNTIFS(INDIRECT("'"&amp;$B$2&amp;"'!$E$5:$E$300"),$A25,INDIRECT("'"&amp;$B$2&amp;"'!$K$5:$K$300"),"Block"),0)</f>
        <v/>
      </c>
      <c r="G25" s="18">
        <f>IFERROR(COUNTIFS(INDIRECT("'"&amp;$B$2&amp;"'!$E$5:$E$300"),$A25,INDIRECT("'"&amp;$B$2&amp;"'!$K$5:$K$300"),"N/A"),0)</f>
        <v/>
      </c>
      <c r="H25" s="18">
        <f>IFERROR(COUNTIFS(INDIRECT("'"&amp;$B$2&amp;"'!$E$5:$E$300"),$A25,INDIRECT("'"&amp;$B$2&amp;"'!$K$5:$K$300"),"N/T"),0)</f>
        <v/>
      </c>
      <c r="I25" s="25">
        <f>IFERROR((D25+E25)/B25,0)</f>
        <v/>
      </c>
    </row>
    <row r="26" ht="18" customHeight="1">
      <c r="A26" s="24" t="inlineStr">
        <is>
          <t>연출</t>
        </is>
      </c>
      <c r="B26" s="14">
        <f>IFERROR(COUNTIF(INDIRECT("'"&amp;$B$2&amp;"'!$E$5:$E$300"),$A26),0)</f>
        <v/>
      </c>
      <c r="C26" s="25">
        <f>IFERROR(B26/$B$28,0)</f>
        <v/>
      </c>
      <c r="D26" s="14">
        <f>IFERROR(COUNTIFS(INDIRECT("'"&amp;$B$2&amp;"'!$E$5:$E$300"),$A26,INDIRECT("'"&amp;$B$2&amp;"'!$K$5:$K$300"),"Pass"),0)</f>
        <v/>
      </c>
      <c r="E26" s="14">
        <f>IFERROR(COUNTIFS(INDIRECT("'"&amp;$B$2&amp;"'!$E$5:$E$300"),$A26,INDIRECT("'"&amp;$B$2&amp;"'!$K$5:$K$300"),"Fail"),0)</f>
        <v/>
      </c>
      <c r="F26" s="14">
        <f>IFERROR(COUNTIFS(INDIRECT("'"&amp;$B$2&amp;"'!$E$5:$E$300"),$A26,INDIRECT("'"&amp;$B$2&amp;"'!$K$5:$K$300"),"Block"),0)</f>
        <v/>
      </c>
      <c r="G26" s="14">
        <f>IFERROR(COUNTIFS(INDIRECT("'"&amp;$B$2&amp;"'!$E$5:$E$300"),$A26,INDIRECT("'"&amp;$B$2&amp;"'!$K$5:$K$300"),"N/A"),0)</f>
        <v/>
      </c>
      <c r="H26" s="14">
        <f>IFERROR(COUNTIFS(INDIRECT("'"&amp;$B$2&amp;"'!$E$5:$E$300"),$A26,INDIRECT("'"&amp;$B$2&amp;"'!$K$5:$K$300"),"N/T"),0)</f>
        <v/>
      </c>
      <c r="I26" s="25">
        <f>IFERROR((D26+E26)/B26,0)</f>
        <v/>
      </c>
    </row>
    <row r="27" ht="18" customHeight="1">
      <c r="A27" s="26" t="inlineStr">
        <is>
          <t>성능</t>
        </is>
      </c>
      <c r="B27" s="18">
        <f>IFERROR(COUNTIF(INDIRECT("'"&amp;$B$2&amp;"'!$E$5:$E$300"),$A27),0)</f>
        <v/>
      </c>
      <c r="C27" s="25">
        <f>IFERROR(B27/$B$28,0)</f>
        <v/>
      </c>
      <c r="D27" s="18">
        <f>IFERROR(COUNTIFS(INDIRECT("'"&amp;$B$2&amp;"'!$E$5:$E$300"),$A27,INDIRECT("'"&amp;$B$2&amp;"'!$K$5:$K$300"),"Pass"),0)</f>
        <v/>
      </c>
      <c r="E27" s="18">
        <f>IFERROR(COUNTIFS(INDIRECT("'"&amp;$B$2&amp;"'!$E$5:$E$300"),$A27,INDIRECT("'"&amp;$B$2&amp;"'!$K$5:$K$300"),"Fail"),0)</f>
        <v/>
      </c>
      <c r="F27" s="18">
        <f>IFERROR(COUNTIFS(INDIRECT("'"&amp;$B$2&amp;"'!$E$5:$E$300"),$A27,INDIRECT("'"&amp;$B$2&amp;"'!$K$5:$K$300"),"Block"),0)</f>
        <v/>
      </c>
      <c r="G27" s="18">
        <f>IFERROR(COUNTIFS(INDIRECT("'"&amp;$B$2&amp;"'!$E$5:$E$300"),$A27,INDIRECT("'"&amp;$B$2&amp;"'!$K$5:$K$300"),"N/A"),0)</f>
        <v/>
      </c>
      <c r="H27" s="18">
        <f>IFERROR(COUNTIFS(INDIRECT("'"&amp;$B$2&amp;"'!$E$5:$E$300"),$A27,INDIRECT("'"&amp;$B$2&amp;"'!$K$5:$K$300"),"N/T"),0)</f>
        <v/>
      </c>
      <c r="I27" s="25">
        <f>IFERROR((D27+E27)/B27,0)</f>
        <v/>
      </c>
    </row>
    <row r="28" ht="20" customHeight="1">
      <c r="A28" s="27" t="inlineStr">
        <is>
          <t>Total</t>
        </is>
      </c>
      <c r="B28" s="28">
        <f>SUM(B22:B27)</f>
        <v/>
      </c>
      <c r="C28" s="29">
        <f>IFERROR(B28/B28,0)</f>
        <v/>
      </c>
      <c r="D28" s="28">
        <f>SUM(D22:D27)</f>
        <v/>
      </c>
      <c r="E28" s="28">
        <f>SUM(E22:E27)</f>
        <v/>
      </c>
      <c r="F28" s="28">
        <f>SUM(F22:F27)</f>
        <v/>
      </c>
      <c r="G28" s="28">
        <f>SUM(G22:G27)</f>
        <v/>
      </c>
      <c r="H28" s="28">
        <f>SUM(H22:H27)</f>
        <v/>
      </c>
      <c r="I28" s="29">
        <f>IFERROR((D28+E28)/B28,0)</f>
        <v/>
      </c>
    </row>
    <row r="30" ht="31.4" customHeight="1">
      <c r="A30" s="5" t="inlineStr">
        <is>
          <t>상태 검증이 0건인 대분류는 저장·재접속·쿨타임을 안 본 것이다. 성능 검증은 '플레이 검증' 시트의 반복 안정성 항목이 보완한다.</t>
        </is>
      </c>
    </row>
  </sheetData>
  <mergeCells count="1">
    <mergeCell ref="A30:J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0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30" customWidth="1" min="12" max="12"/>
  </cols>
  <sheetData>
    <row r="1" ht="22" customHeight="1">
      <c r="A1" s="6" t="inlineStr">
        <is>
          <t>회차 이력</t>
        </is>
      </c>
    </row>
    <row r="2" ht="16" customHeight="1">
      <c r="A2" s="7" t="inlineStr">
        <is>
          <t>E 열에 회차 시트 이름을 적으면 F~K 가 그 시트를 집계한다.</t>
        </is>
      </c>
    </row>
    <row r="4" ht="26" customHeight="1">
      <c r="A4" s="8" t="inlineStr">
        <is>
          <t>회차</t>
        </is>
      </c>
      <c r="B4" s="8" t="inlineStr">
        <is>
          <t>빌드</t>
        </is>
      </c>
      <c r="C4" s="8" t="inlineStr">
        <is>
          <t>일자</t>
        </is>
      </c>
      <c r="D4" s="8" t="inlineStr">
        <is>
          <t>담당</t>
        </is>
      </c>
      <c r="E4" s="8" t="inlineStr">
        <is>
          <t>시트 이름</t>
        </is>
      </c>
      <c r="F4" s="8" t="inlineStr">
        <is>
          <t>TC 수</t>
        </is>
      </c>
      <c r="G4" s="8" t="inlineStr">
        <is>
          <t>Pass</t>
        </is>
      </c>
      <c r="H4" s="8" t="inlineStr">
        <is>
          <t>Fail</t>
        </is>
      </c>
      <c r="I4" s="8" t="inlineStr">
        <is>
          <t>Block</t>
        </is>
      </c>
      <c r="J4" s="8" t="inlineStr">
        <is>
          <t>N/T</t>
        </is>
      </c>
      <c r="K4" s="8" t="inlineStr">
        <is>
          <t>진행률</t>
        </is>
      </c>
      <c r="L4" s="8" t="inlineStr">
        <is>
          <t>메모</t>
        </is>
      </c>
    </row>
    <row r="5" ht="18" customHeight="1">
      <c r="A5" s="14" t="n">
        <v>1</v>
      </c>
      <c r="B5" s="16" t="n"/>
      <c r="C5" s="16" t="n"/>
      <c r="D5" s="16" t="n"/>
      <c r="E5" s="16" t="n"/>
      <c r="F5" s="14">
        <f>IF($E5="","",IFERROR(COUNTA(INDIRECT("'"&amp;$E5&amp;"'!$A$5:$A$300")),""))</f>
        <v/>
      </c>
      <c r="G5" s="14">
        <f>IF($E5="","",IFERROR(COUNTIF(INDIRECT("'"&amp;$E5&amp;"'!$K$5:$K$300"),"Pass"),""))</f>
        <v/>
      </c>
      <c r="H5" s="14">
        <f>IF($E5="","",IFERROR(COUNTIF(INDIRECT("'"&amp;$E5&amp;"'!$K$5:$K$300"),"Fail"),""))</f>
        <v/>
      </c>
      <c r="I5" s="14">
        <f>IF($E5="","",IFERROR(COUNTIF(INDIRECT("'"&amp;$E5&amp;"'!$K$5:$K$300"),"Block"),""))</f>
        <v/>
      </c>
      <c r="J5" s="14">
        <f>IF($E5="","",IFERROR(COUNTIF(INDIRECT("'"&amp;$E5&amp;"'!$K$5:$K$300"),"N/T"),""))</f>
        <v/>
      </c>
      <c r="K5" s="25">
        <f>IF($E5="","",IFERROR((G5+H5)/F5,""))</f>
        <v/>
      </c>
      <c r="L5" s="17" t="n"/>
    </row>
    <row r="6" ht="18" customHeight="1">
      <c r="A6" s="14" t="n">
        <v>2</v>
      </c>
      <c r="B6" s="16" t="n"/>
      <c r="C6" s="16" t="n"/>
      <c r="D6" s="16" t="n"/>
      <c r="E6" s="16" t="n"/>
      <c r="F6" s="14">
        <f>IF($E6="","",IFERROR(COUNTA(INDIRECT("'"&amp;$E6&amp;"'!$A$5:$A$300")),""))</f>
        <v/>
      </c>
      <c r="G6" s="14">
        <f>IF($E6="","",IFERROR(COUNTIF(INDIRECT("'"&amp;$E6&amp;"'!$K$5:$K$300"),"Pass"),""))</f>
        <v/>
      </c>
      <c r="H6" s="14">
        <f>IF($E6="","",IFERROR(COUNTIF(INDIRECT("'"&amp;$E6&amp;"'!$K$5:$K$300"),"Fail"),""))</f>
        <v/>
      </c>
      <c r="I6" s="14">
        <f>IF($E6="","",IFERROR(COUNTIF(INDIRECT("'"&amp;$E6&amp;"'!$K$5:$K$300"),"Block"),""))</f>
        <v/>
      </c>
      <c r="J6" s="14">
        <f>IF($E6="","",IFERROR(COUNTIF(INDIRECT("'"&amp;$E6&amp;"'!$K$5:$K$300"),"N/T"),""))</f>
        <v/>
      </c>
      <c r="K6" s="25">
        <f>IF($E6="","",IFERROR((G6+H6)/F6,""))</f>
        <v/>
      </c>
      <c r="L6" s="17" t="n"/>
    </row>
    <row r="7" ht="18" customHeight="1">
      <c r="A7" s="14" t="n">
        <v>3</v>
      </c>
      <c r="B7" s="16" t="n"/>
      <c r="C7" s="16" t="n"/>
      <c r="D7" s="16" t="n"/>
      <c r="E7" s="16" t="n"/>
      <c r="F7" s="14">
        <f>IF($E7="","",IFERROR(COUNTA(INDIRECT("'"&amp;$E7&amp;"'!$A$5:$A$300")),""))</f>
        <v/>
      </c>
      <c r="G7" s="14">
        <f>IF($E7="","",IFERROR(COUNTIF(INDIRECT("'"&amp;$E7&amp;"'!$K$5:$K$300"),"Pass"),""))</f>
        <v/>
      </c>
      <c r="H7" s="14">
        <f>IF($E7="","",IFERROR(COUNTIF(INDIRECT("'"&amp;$E7&amp;"'!$K$5:$K$300"),"Fail"),""))</f>
        <v/>
      </c>
      <c r="I7" s="14">
        <f>IF($E7="","",IFERROR(COUNTIF(INDIRECT("'"&amp;$E7&amp;"'!$K$5:$K$300"),"Block"),""))</f>
        <v/>
      </c>
      <c r="J7" s="14">
        <f>IF($E7="","",IFERROR(COUNTIF(INDIRECT("'"&amp;$E7&amp;"'!$K$5:$K$300"),"N/T"),""))</f>
        <v/>
      </c>
      <c r="K7" s="25">
        <f>IF($E7="","",IFERROR((G7+H7)/F7,""))</f>
        <v/>
      </c>
      <c r="L7" s="17" t="n"/>
    </row>
    <row r="8" ht="18" customHeight="1">
      <c r="A8" s="14" t="n">
        <v>4</v>
      </c>
      <c r="B8" s="16" t="n"/>
      <c r="C8" s="16" t="n"/>
      <c r="D8" s="16" t="n"/>
      <c r="E8" s="16" t="n"/>
      <c r="F8" s="14">
        <f>IF($E8="","",IFERROR(COUNTA(INDIRECT("'"&amp;$E8&amp;"'!$A$5:$A$300")),""))</f>
        <v/>
      </c>
      <c r="G8" s="14">
        <f>IF($E8="","",IFERROR(COUNTIF(INDIRECT("'"&amp;$E8&amp;"'!$K$5:$K$300"),"Pass"),""))</f>
        <v/>
      </c>
      <c r="H8" s="14">
        <f>IF($E8="","",IFERROR(COUNTIF(INDIRECT("'"&amp;$E8&amp;"'!$K$5:$K$300"),"Fail"),""))</f>
        <v/>
      </c>
      <c r="I8" s="14">
        <f>IF($E8="","",IFERROR(COUNTIF(INDIRECT("'"&amp;$E8&amp;"'!$K$5:$K$300"),"Block"),""))</f>
        <v/>
      </c>
      <c r="J8" s="14">
        <f>IF($E8="","",IFERROR(COUNTIF(INDIRECT("'"&amp;$E8&amp;"'!$K$5:$K$300"),"N/T"),""))</f>
        <v/>
      </c>
      <c r="K8" s="25">
        <f>IF($E8="","",IFERROR((G8+H8)/F8,""))</f>
        <v/>
      </c>
      <c r="L8" s="17" t="n"/>
    </row>
    <row r="9" ht="18" customHeight="1">
      <c r="A9" s="14" t="n">
        <v>5</v>
      </c>
      <c r="B9" s="16" t="n"/>
      <c r="C9" s="16" t="n"/>
      <c r="D9" s="16" t="n"/>
      <c r="E9" s="16" t="n"/>
      <c r="F9" s="14">
        <f>IF($E9="","",IFERROR(COUNTA(INDIRECT("'"&amp;$E9&amp;"'!$A$5:$A$300")),""))</f>
        <v/>
      </c>
      <c r="G9" s="14">
        <f>IF($E9="","",IFERROR(COUNTIF(INDIRECT("'"&amp;$E9&amp;"'!$K$5:$K$300"),"Pass"),""))</f>
        <v/>
      </c>
      <c r="H9" s="14">
        <f>IF($E9="","",IFERROR(COUNTIF(INDIRECT("'"&amp;$E9&amp;"'!$K$5:$K$300"),"Fail"),""))</f>
        <v/>
      </c>
      <c r="I9" s="14">
        <f>IF($E9="","",IFERROR(COUNTIF(INDIRECT("'"&amp;$E9&amp;"'!$K$5:$K$300"),"Block"),""))</f>
        <v/>
      </c>
      <c r="J9" s="14">
        <f>IF($E9="","",IFERROR(COUNTIF(INDIRECT("'"&amp;$E9&amp;"'!$K$5:$K$300"),"N/T"),""))</f>
        <v/>
      </c>
      <c r="K9" s="25">
        <f>IF($E9="","",IFERROR((G9+H9)/F9,""))</f>
        <v/>
      </c>
      <c r="L9" s="17" t="n"/>
    </row>
    <row r="10" ht="18" customHeight="1">
      <c r="A10" s="14" t="n">
        <v>6</v>
      </c>
      <c r="B10" s="16" t="n"/>
      <c r="C10" s="16" t="n"/>
      <c r="D10" s="16" t="n"/>
      <c r="E10" s="16" t="n"/>
      <c r="F10" s="14">
        <f>IF($E10="","",IFERROR(COUNTA(INDIRECT("'"&amp;$E10&amp;"'!$A$5:$A$300")),""))</f>
        <v/>
      </c>
      <c r="G10" s="14">
        <f>IF($E10="","",IFERROR(COUNTIF(INDIRECT("'"&amp;$E10&amp;"'!$K$5:$K$300"),"Pass"),""))</f>
        <v/>
      </c>
      <c r="H10" s="14">
        <f>IF($E10="","",IFERROR(COUNTIF(INDIRECT("'"&amp;$E10&amp;"'!$K$5:$K$300"),"Fail"),""))</f>
        <v/>
      </c>
      <c r="I10" s="14">
        <f>IF($E10="","",IFERROR(COUNTIF(INDIRECT("'"&amp;$E10&amp;"'!$K$5:$K$300"),"Block"),""))</f>
        <v/>
      </c>
      <c r="J10" s="14">
        <f>IF($E10="","",IFERROR(COUNTIF(INDIRECT("'"&amp;$E10&amp;"'!$K$5:$K$300"),"N/T"),""))</f>
        <v/>
      </c>
      <c r="K10" s="25">
        <f>IF($E10="","",IFERROR((G10+H10)/F10,""))</f>
        <v/>
      </c>
      <c r="L10" s="17" t="n"/>
    </row>
    <row r="11" ht="18" customHeight="1">
      <c r="A11" s="14" t="n">
        <v>7</v>
      </c>
      <c r="B11" s="16" t="n"/>
      <c r="C11" s="16" t="n"/>
      <c r="D11" s="16" t="n"/>
      <c r="E11" s="16" t="n"/>
      <c r="F11" s="14">
        <f>IF($E11="","",IFERROR(COUNTA(INDIRECT("'"&amp;$E11&amp;"'!$A$5:$A$300")),""))</f>
        <v/>
      </c>
      <c r="G11" s="14">
        <f>IF($E11="","",IFERROR(COUNTIF(INDIRECT("'"&amp;$E11&amp;"'!$K$5:$K$300"),"Pass"),""))</f>
        <v/>
      </c>
      <c r="H11" s="14">
        <f>IF($E11="","",IFERROR(COUNTIF(INDIRECT("'"&amp;$E11&amp;"'!$K$5:$K$300"),"Fail"),""))</f>
        <v/>
      </c>
      <c r="I11" s="14">
        <f>IF($E11="","",IFERROR(COUNTIF(INDIRECT("'"&amp;$E11&amp;"'!$K$5:$K$300"),"Block"),""))</f>
        <v/>
      </c>
      <c r="J11" s="14">
        <f>IF($E11="","",IFERROR(COUNTIF(INDIRECT("'"&amp;$E11&amp;"'!$K$5:$K$300"),"N/T"),""))</f>
        <v/>
      </c>
      <c r="K11" s="25">
        <f>IF($E11="","",IFERROR((G11+H11)/F11,""))</f>
        <v/>
      </c>
      <c r="L11" s="17" t="n"/>
    </row>
    <row r="12" ht="18" customHeight="1">
      <c r="A12" s="14" t="n">
        <v>8</v>
      </c>
      <c r="B12" s="16" t="n"/>
      <c r="C12" s="16" t="n"/>
      <c r="D12" s="16" t="n"/>
      <c r="E12" s="16" t="n"/>
      <c r="F12" s="14">
        <f>IF($E12="","",IFERROR(COUNTA(INDIRECT("'"&amp;$E12&amp;"'!$A$5:$A$300")),""))</f>
        <v/>
      </c>
      <c r="G12" s="14">
        <f>IF($E12="","",IFERROR(COUNTIF(INDIRECT("'"&amp;$E12&amp;"'!$K$5:$K$300"),"Pass"),""))</f>
        <v/>
      </c>
      <c r="H12" s="14">
        <f>IF($E12="","",IFERROR(COUNTIF(INDIRECT("'"&amp;$E12&amp;"'!$K$5:$K$300"),"Fail"),""))</f>
        <v/>
      </c>
      <c r="I12" s="14">
        <f>IF($E12="","",IFERROR(COUNTIF(INDIRECT("'"&amp;$E12&amp;"'!$K$5:$K$300"),"Block"),""))</f>
        <v/>
      </c>
      <c r="J12" s="14">
        <f>IF($E12="","",IFERROR(COUNTIF(INDIRECT("'"&amp;$E12&amp;"'!$K$5:$K$300"),"N/T"),""))</f>
        <v/>
      </c>
      <c r="K12" s="25">
        <f>IF($E12="","",IFERROR((G12+H12)/F12,""))</f>
        <v/>
      </c>
      <c r="L12" s="17" t="n"/>
    </row>
    <row r="13" ht="18" customHeight="1">
      <c r="A13" s="14" t="n">
        <v>9</v>
      </c>
      <c r="B13" s="16" t="n"/>
      <c r="C13" s="16" t="n"/>
      <c r="D13" s="16" t="n"/>
      <c r="E13" s="16" t="n"/>
      <c r="F13" s="14">
        <f>IF($E13="","",IFERROR(COUNTA(INDIRECT("'"&amp;$E13&amp;"'!$A$5:$A$300")),""))</f>
        <v/>
      </c>
      <c r="G13" s="14">
        <f>IF($E13="","",IFERROR(COUNTIF(INDIRECT("'"&amp;$E13&amp;"'!$K$5:$K$300"),"Pass"),""))</f>
        <v/>
      </c>
      <c r="H13" s="14">
        <f>IF($E13="","",IFERROR(COUNTIF(INDIRECT("'"&amp;$E13&amp;"'!$K$5:$K$300"),"Fail"),""))</f>
        <v/>
      </c>
      <c r="I13" s="14">
        <f>IF($E13="","",IFERROR(COUNTIF(INDIRECT("'"&amp;$E13&amp;"'!$K$5:$K$300"),"Block"),""))</f>
        <v/>
      </c>
      <c r="J13" s="14">
        <f>IF($E13="","",IFERROR(COUNTIF(INDIRECT("'"&amp;$E13&amp;"'!$K$5:$K$300"),"N/T"),""))</f>
        <v/>
      </c>
      <c r="K13" s="25">
        <f>IF($E13="","",IFERROR((G13+H13)/F13,""))</f>
        <v/>
      </c>
      <c r="L13" s="17" t="n"/>
    </row>
    <row r="14" ht="18" customHeight="1">
      <c r="A14" s="14" t="n">
        <v>10</v>
      </c>
      <c r="B14" s="16" t="n"/>
      <c r="C14" s="16" t="n"/>
      <c r="D14" s="16" t="n"/>
      <c r="E14" s="16" t="n"/>
      <c r="F14" s="14">
        <f>IF($E14="","",IFERROR(COUNTA(INDIRECT("'"&amp;$E14&amp;"'!$A$5:$A$300")),""))</f>
        <v/>
      </c>
      <c r="G14" s="14">
        <f>IF($E14="","",IFERROR(COUNTIF(INDIRECT("'"&amp;$E14&amp;"'!$K$5:$K$300"),"Pass"),""))</f>
        <v/>
      </c>
      <c r="H14" s="14">
        <f>IF($E14="","",IFERROR(COUNTIF(INDIRECT("'"&amp;$E14&amp;"'!$K$5:$K$300"),"Fail"),""))</f>
        <v/>
      </c>
      <c r="I14" s="14">
        <f>IF($E14="","",IFERROR(COUNTIF(INDIRECT("'"&amp;$E14&amp;"'!$K$5:$K$300"),"Block"),""))</f>
        <v/>
      </c>
      <c r="J14" s="14">
        <f>IF($E14="","",IFERROR(COUNTIF(INDIRECT("'"&amp;$E14&amp;"'!$K$5:$K$300"),"N/T"),""))</f>
        <v/>
      </c>
      <c r="K14" s="25">
        <f>IF($E14="","",IFERROR((G14+H14)/F14,""))</f>
        <v/>
      </c>
      <c r="L14" s="17" t="n"/>
    </row>
    <row r="15" ht="18" customHeight="1">
      <c r="A15" s="14" t="n">
        <v>11</v>
      </c>
      <c r="B15" s="16" t="n"/>
      <c r="C15" s="16" t="n"/>
      <c r="D15" s="16" t="n"/>
      <c r="E15" s="16" t="n"/>
      <c r="F15" s="14">
        <f>IF($E15="","",IFERROR(COUNTA(INDIRECT("'"&amp;$E15&amp;"'!$A$5:$A$300")),""))</f>
        <v/>
      </c>
      <c r="G15" s="14">
        <f>IF($E15="","",IFERROR(COUNTIF(INDIRECT("'"&amp;$E15&amp;"'!$K$5:$K$300"),"Pass"),""))</f>
        <v/>
      </c>
      <c r="H15" s="14">
        <f>IF($E15="","",IFERROR(COUNTIF(INDIRECT("'"&amp;$E15&amp;"'!$K$5:$K$300"),"Fail"),""))</f>
        <v/>
      </c>
      <c r="I15" s="14">
        <f>IF($E15="","",IFERROR(COUNTIF(INDIRECT("'"&amp;$E15&amp;"'!$K$5:$K$300"),"Block"),""))</f>
        <v/>
      </c>
      <c r="J15" s="14">
        <f>IF($E15="","",IFERROR(COUNTIF(INDIRECT("'"&amp;$E15&amp;"'!$K$5:$K$300"),"N/T"),""))</f>
        <v/>
      </c>
      <c r="K15" s="25">
        <f>IF($E15="","",IFERROR((G15+H15)/F15,""))</f>
        <v/>
      </c>
      <c r="L15" s="17" t="n"/>
    </row>
    <row r="16" ht="18" customHeight="1">
      <c r="A16" s="14" t="n">
        <v>12</v>
      </c>
      <c r="B16" s="16" t="n"/>
      <c r="C16" s="16" t="n"/>
      <c r="D16" s="16" t="n"/>
      <c r="E16" s="16" t="n"/>
      <c r="F16" s="14">
        <f>IF($E16="","",IFERROR(COUNTA(INDIRECT("'"&amp;$E16&amp;"'!$A$5:$A$300")),""))</f>
        <v/>
      </c>
      <c r="G16" s="14">
        <f>IF($E16="","",IFERROR(COUNTIF(INDIRECT("'"&amp;$E16&amp;"'!$K$5:$K$300"),"Pass"),""))</f>
        <v/>
      </c>
      <c r="H16" s="14">
        <f>IF($E16="","",IFERROR(COUNTIF(INDIRECT("'"&amp;$E16&amp;"'!$K$5:$K$300"),"Fail"),""))</f>
        <v/>
      </c>
      <c r="I16" s="14">
        <f>IF($E16="","",IFERROR(COUNTIF(INDIRECT("'"&amp;$E16&amp;"'!$K$5:$K$300"),"Block"),""))</f>
        <v/>
      </c>
      <c r="J16" s="14">
        <f>IF($E16="","",IFERROR(COUNTIF(INDIRECT("'"&amp;$E16&amp;"'!$K$5:$K$300"),"N/T"),""))</f>
        <v/>
      </c>
      <c r="K16" s="25">
        <f>IF($E16="","",IFERROR((G16+H16)/F16,""))</f>
        <v/>
      </c>
      <c r="L16" s="17" t="n"/>
    </row>
    <row r="17" ht="18" customHeight="1">
      <c r="A17" s="14" t="n">
        <v>13</v>
      </c>
      <c r="B17" s="16" t="n"/>
      <c r="C17" s="16" t="n"/>
      <c r="D17" s="16" t="n"/>
      <c r="E17" s="16" t="n"/>
      <c r="F17" s="14">
        <f>IF($E17="","",IFERROR(COUNTA(INDIRECT("'"&amp;$E17&amp;"'!$A$5:$A$300")),""))</f>
        <v/>
      </c>
      <c r="G17" s="14">
        <f>IF($E17="","",IFERROR(COUNTIF(INDIRECT("'"&amp;$E17&amp;"'!$K$5:$K$300"),"Pass"),""))</f>
        <v/>
      </c>
      <c r="H17" s="14">
        <f>IF($E17="","",IFERROR(COUNTIF(INDIRECT("'"&amp;$E17&amp;"'!$K$5:$K$300"),"Fail"),""))</f>
        <v/>
      </c>
      <c r="I17" s="14">
        <f>IF($E17="","",IFERROR(COUNTIF(INDIRECT("'"&amp;$E17&amp;"'!$K$5:$K$300"),"Block"),""))</f>
        <v/>
      </c>
      <c r="J17" s="14">
        <f>IF($E17="","",IFERROR(COUNTIF(INDIRECT("'"&amp;$E17&amp;"'!$K$5:$K$300"),"N/T"),""))</f>
        <v/>
      </c>
      <c r="K17" s="25">
        <f>IF($E17="","",IFERROR((G17+H17)/F17,""))</f>
        <v/>
      </c>
      <c r="L17" s="17" t="n"/>
    </row>
    <row r="18" ht="18" customHeight="1">
      <c r="A18" s="14" t="n">
        <v>14</v>
      </c>
      <c r="B18" s="16" t="n"/>
      <c r="C18" s="16" t="n"/>
      <c r="D18" s="16" t="n"/>
      <c r="E18" s="16" t="n"/>
      <c r="F18" s="14">
        <f>IF($E18="","",IFERROR(COUNTA(INDIRECT("'"&amp;$E18&amp;"'!$A$5:$A$300")),""))</f>
        <v/>
      </c>
      <c r="G18" s="14">
        <f>IF($E18="","",IFERROR(COUNTIF(INDIRECT("'"&amp;$E18&amp;"'!$K$5:$K$300"),"Pass"),""))</f>
        <v/>
      </c>
      <c r="H18" s="14">
        <f>IF($E18="","",IFERROR(COUNTIF(INDIRECT("'"&amp;$E18&amp;"'!$K$5:$K$300"),"Fail"),""))</f>
        <v/>
      </c>
      <c r="I18" s="14">
        <f>IF($E18="","",IFERROR(COUNTIF(INDIRECT("'"&amp;$E18&amp;"'!$K$5:$K$300"),"Block"),""))</f>
        <v/>
      </c>
      <c r="J18" s="14">
        <f>IF($E18="","",IFERROR(COUNTIF(INDIRECT("'"&amp;$E18&amp;"'!$K$5:$K$300"),"N/T"),""))</f>
        <v/>
      </c>
      <c r="K18" s="25">
        <f>IF($E18="","",IFERROR((G18+H18)/F18,""))</f>
        <v/>
      </c>
      <c r="L18" s="17" t="n"/>
    </row>
    <row r="19" ht="18" customHeight="1">
      <c r="A19" s="14" t="n">
        <v>15</v>
      </c>
      <c r="B19" s="16" t="n"/>
      <c r="C19" s="16" t="n"/>
      <c r="D19" s="16" t="n"/>
      <c r="E19" s="16" t="n"/>
      <c r="F19" s="14">
        <f>IF($E19="","",IFERROR(COUNTA(INDIRECT("'"&amp;$E19&amp;"'!$A$5:$A$300")),""))</f>
        <v/>
      </c>
      <c r="G19" s="14">
        <f>IF($E19="","",IFERROR(COUNTIF(INDIRECT("'"&amp;$E19&amp;"'!$K$5:$K$300"),"Pass"),""))</f>
        <v/>
      </c>
      <c r="H19" s="14">
        <f>IF($E19="","",IFERROR(COUNTIF(INDIRECT("'"&amp;$E19&amp;"'!$K$5:$K$300"),"Fail"),""))</f>
        <v/>
      </c>
      <c r="I19" s="14">
        <f>IF($E19="","",IFERROR(COUNTIF(INDIRECT("'"&amp;$E19&amp;"'!$K$5:$K$300"),"Block"),""))</f>
        <v/>
      </c>
      <c r="J19" s="14">
        <f>IF($E19="","",IFERROR(COUNTIF(INDIRECT("'"&amp;$E19&amp;"'!$K$5:$K$300"),"N/T"),""))</f>
        <v/>
      </c>
      <c r="K19" s="25">
        <f>IF($E19="","",IFERROR((G19+H19)/F19,""))</f>
        <v/>
      </c>
      <c r="L19" s="17" t="n"/>
    </row>
    <row r="21" ht="31.4" customHeight="1">
      <c r="A21" s="5" t="inlineStr">
        <is>
          <t>빌드는 ProjectSettings 의 Version 을 적는다. 담당은 실행한 사람. 진행률 = (Pass+Fail)/TC 수. Block·N/T 가 많으면 빌드가 아직 테스트할 상태가 아니라는 뜻이다.</t>
        </is>
      </c>
    </row>
  </sheetData>
  <mergeCells count="1">
    <mergeCell ref="A21:L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2026-09-14T06:49:40Z</dcterms:created>
  <dcterms:modified xsi:type="dcterms:W3CDTF">2026-09-14T06:49:41Z</dcterms:modified>
</cp:coreProperties>
</file>